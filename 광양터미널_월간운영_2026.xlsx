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광양터미널_2026" sheetId="1" state="visible" r:id="rId3"/>
    <sheet name="📊 구역별_요약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<sst xmlns="http://schemas.openxmlformats.org/spreadsheetml/2006/main" count="992" uniqueCount="76">
  <si>
    <r>
      <rPr>
        <b val="true"/>
        <sz val="20"/>
        <color rgb="FFFFFFFF"/>
        <rFont val="DejaVu Sans"/>
        <family val="2"/>
      </rPr>
      <t xml:space="preserve">🌊 광양터미널 월간운영 실적 </t>
    </r>
    <r>
      <rPr>
        <b val="true"/>
        <sz val="20"/>
        <color rgb="FFFFFFFF"/>
        <rFont val="맑은 고딕"/>
        <family val="0"/>
        <charset val="1"/>
      </rPr>
      <t xml:space="preserve">(2026)</t>
    </r>
  </si>
  <si>
    <t xml:space="preserve">Gwangyang Terminal Monthly Operations Report — Storage · Discharge · Bunkering · Trade</t>
  </si>
  <si>
    <t xml:space="preserve">구역</t>
  </si>
  <si>
    <t xml:space="preserve">월</t>
  </si>
  <si>
    <t xml:space="preserve">운영지표</t>
  </si>
  <si>
    <t xml:space="preserve">단위</t>
  </si>
  <si>
    <r>
      <rPr>
        <b val="true"/>
        <sz val="11"/>
        <color rgb="FFFFFFFF"/>
        <rFont val="맑은 고딕"/>
        <family val="0"/>
        <charset val="1"/>
      </rPr>
      <t xml:space="preserve">1</t>
    </r>
    <r>
      <rPr>
        <b val="true"/>
        <sz val="11"/>
        <color rgb="FFFFFFFF"/>
        <rFont val="DejaVu Sans"/>
        <family val="2"/>
      </rPr>
      <t xml:space="preserve">탱크</t>
    </r>
  </si>
  <si>
    <r>
      <rPr>
        <b val="true"/>
        <sz val="11"/>
        <color rgb="FFFFFFFF"/>
        <rFont val="맑은 고딕"/>
        <family val="0"/>
        <charset val="1"/>
      </rPr>
      <t xml:space="preserve">2</t>
    </r>
    <r>
      <rPr>
        <b val="true"/>
        <sz val="11"/>
        <color rgb="FFFFFFFF"/>
        <rFont val="DejaVu Sans"/>
        <family val="2"/>
      </rPr>
      <t xml:space="preserve">탱크</t>
    </r>
  </si>
  <si>
    <r>
      <rPr>
        <b val="true"/>
        <sz val="11"/>
        <color rgb="FFFFFFFF"/>
        <rFont val="맑은 고딕"/>
        <family val="0"/>
        <charset val="1"/>
      </rPr>
      <t xml:space="preserve">3</t>
    </r>
    <r>
      <rPr>
        <b val="true"/>
        <sz val="11"/>
        <color rgb="FFFFFFFF"/>
        <rFont val="DejaVu Sans"/>
        <family val="2"/>
      </rPr>
      <t xml:space="preserve">탱크</t>
    </r>
  </si>
  <si>
    <r>
      <rPr>
        <b val="true"/>
        <sz val="11"/>
        <color rgb="FFFFFFFF"/>
        <rFont val="맑은 고딕"/>
        <family val="0"/>
        <charset val="1"/>
      </rPr>
      <t xml:space="preserve">4</t>
    </r>
    <r>
      <rPr>
        <b val="true"/>
        <sz val="11"/>
        <color rgb="FFFFFFFF"/>
        <rFont val="DejaVu Sans"/>
        <family val="2"/>
      </rPr>
      <t xml:space="preserve">탱크</t>
    </r>
  </si>
  <si>
    <r>
      <rPr>
        <b val="true"/>
        <sz val="11"/>
        <color rgb="FFFFFFFF"/>
        <rFont val="맑은 고딕"/>
        <family val="0"/>
        <charset val="1"/>
      </rPr>
      <t xml:space="preserve">5</t>
    </r>
    <r>
      <rPr>
        <b val="true"/>
        <sz val="11"/>
        <color rgb="FFFFFFFF"/>
        <rFont val="DejaVu Sans"/>
        <family val="2"/>
      </rPr>
      <t xml:space="preserve">탱크</t>
    </r>
  </si>
  <si>
    <r>
      <rPr>
        <b val="true"/>
        <sz val="11"/>
        <color rgb="FFFFFFFF"/>
        <rFont val="맑은 고딕"/>
        <family val="0"/>
        <charset val="1"/>
      </rPr>
      <t xml:space="preserve">6</t>
    </r>
    <r>
      <rPr>
        <b val="true"/>
        <sz val="11"/>
        <color rgb="FFFFFFFF"/>
        <rFont val="DejaVu Sans"/>
        <family val="2"/>
      </rPr>
      <t xml:space="preserve">탱크</t>
    </r>
  </si>
  <si>
    <t xml:space="preserve">합계</t>
  </si>
  <si>
    <r>
      <rPr>
        <b val="true"/>
        <sz val="11"/>
        <color rgb="FFFFFFFF"/>
        <rFont val="DejaVu Sans"/>
        <family val="2"/>
      </rPr>
      <t xml:space="preserve">전월대비</t>
    </r>
    <r>
      <rPr>
        <b val="true"/>
        <sz val="11"/>
        <color rgb="FFFFFFFF"/>
        <rFont val="맑은 고딕"/>
        <family val="0"/>
        <charset val="1"/>
      </rPr>
      <t xml:space="preserve">(%)</t>
    </r>
  </si>
  <si>
    <t xml:space="preserve">비고</t>
  </si>
  <si>
    <r>
      <rPr>
        <b val="true"/>
        <sz val="10"/>
        <color rgb="FF004D5A"/>
        <rFont val="DejaVu Sans"/>
        <family val="2"/>
      </rPr>
      <t xml:space="preserve">광양 </t>
    </r>
    <r>
      <rPr>
        <b val="true"/>
        <sz val="10"/>
        <color rgb="FF004D5A"/>
        <rFont val="맑은 고딕"/>
        <family val="0"/>
        <charset val="1"/>
      </rPr>
      <t xml:space="preserve">1</t>
    </r>
    <r>
      <rPr>
        <b val="true"/>
        <sz val="10"/>
        <color rgb="FF004D5A"/>
        <rFont val="DejaVu Sans"/>
        <family val="2"/>
      </rPr>
      <t xml:space="preserve">구역</t>
    </r>
  </si>
  <si>
    <t xml:space="preserve">2026-01</t>
  </si>
  <si>
    <t xml:space="preserve">저장량</t>
  </si>
  <si>
    <t xml:space="preserve">천톤</t>
  </si>
  <si>
    <t xml:space="preserve">-</t>
  </si>
  <si>
    <t xml:space="preserve">최적 재고</t>
  </si>
  <si>
    <t xml:space="preserve">송출량</t>
  </si>
  <si>
    <t xml:space="preserve">수요 견조</t>
  </si>
  <si>
    <t xml:space="preserve">벙커링</t>
  </si>
  <si>
    <t xml:space="preserve">톤</t>
  </si>
  <si>
    <r>
      <rPr>
        <i val="true"/>
        <sz val="9"/>
        <color rgb="FF5D4037"/>
        <rFont val="DejaVu Sans"/>
        <family val="2"/>
      </rPr>
      <t xml:space="preserve">주</t>
    </r>
    <r>
      <rPr>
        <i val="true"/>
        <sz val="9"/>
        <color rgb="FF5D4037"/>
        <rFont val="맑은 고딕"/>
        <family val="0"/>
        <charset val="1"/>
      </rPr>
      <t xml:space="preserve">2</t>
    </r>
    <r>
      <rPr>
        <i val="true"/>
        <sz val="9"/>
        <color rgb="FF5D4037"/>
        <rFont val="DejaVu Sans"/>
        <family val="2"/>
      </rPr>
      <t xml:space="preserve">회 운영</t>
    </r>
  </si>
  <si>
    <t xml:space="preserve">반출입</t>
  </si>
  <si>
    <r>
      <rPr>
        <i val="true"/>
        <sz val="9"/>
        <color rgb="FF5D4037"/>
        <rFont val="DejaVu Sans"/>
        <family val="2"/>
      </rPr>
      <t xml:space="preserve">제</t>
    </r>
    <r>
      <rPr>
        <i val="true"/>
        <sz val="9"/>
        <color rgb="FF5D4037"/>
        <rFont val="맑은 고딕"/>
        <family val="0"/>
        <charset val="1"/>
      </rPr>
      <t xml:space="preserve">2</t>
    </r>
    <r>
      <rPr>
        <i val="true"/>
        <sz val="9"/>
        <color rgb="FF5D4037"/>
        <rFont val="DejaVu Sans"/>
        <family val="2"/>
      </rPr>
      <t xml:space="preserve">터미널 부두</t>
    </r>
  </si>
  <si>
    <t xml:space="preserve">2026-02</t>
  </si>
  <si>
    <t xml:space="preserve">비축량 양호</t>
  </si>
  <si>
    <t xml:space="preserve">정기 운항</t>
  </si>
  <si>
    <t xml:space="preserve">물동량 증가세</t>
  </si>
  <si>
    <t xml:space="preserve">2026-03</t>
  </si>
  <si>
    <t xml:space="preserve">물량 회전율 우수</t>
  </si>
  <si>
    <t xml:space="preserve">출하 원활</t>
  </si>
  <si>
    <t xml:space="preserve">스팟 추가</t>
  </si>
  <si>
    <t xml:space="preserve">동남아 거래 확대</t>
  </si>
  <si>
    <t xml:space="preserve">2026-04</t>
  </si>
  <si>
    <t xml:space="preserve">월간 최대치</t>
  </si>
  <si>
    <t xml:space="preserve">신규 고객 확보</t>
  </si>
  <si>
    <t xml:space="preserve">2026-05</t>
  </si>
  <si>
    <t xml:space="preserve">2026-06</t>
  </si>
  <si>
    <t xml:space="preserve">글로벌 수요 증가</t>
  </si>
  <si>
    <r>
      <rPr>
        <i val="true"/>
        <sz val="9"/>
        <color rgb="FF5D4037"/>
        <rFont val="DejaVu Sans"/>
        <family val="2"/>
      </rPr>
      <t xml:space="preserve">벙커링선 주</t>
    </r>
    <r>
      <rPr>
        <i val="true"/>
        <sz val="9"/>
        <color rgb="FF5D4037"/>
        <rFont val="맑은 고딕"/>
        <family val="0"/>
        <charset val="1"/>
      </rPr>
      <t xml:space="preserve">1</t>
    </r>
    <r>
      <rPr>
        <i val="true"/>
        <sz val="9"/>
        <color rgb="FF5D4037"/>
        <rFont val="DejaVu Sans"/>
        <family val="2"/>
      </rPr>
      <t xml:space="preserve">회</t>
    </r>
  </si>
  <si>
    <t xml:space="preserve">2026-07</t>
  </si>
  <si>
    <t xml:space="preserve">공급 확대</t>
  </si>
  <si>
    <t xml:space="preserve">2026-08</t>
  </si>
  <si>
    <t xml:space="preserve">2026-09</t>
  </si>
  <si>
    <t xml:space="preserve">출하량 호조</t>
  </si>
  <si>
    <t xml:space="preserve">2026-10</t>
  </si>
  <si>
    <t xml:space="preserve">2026-11</t>
  </si>
  <si>
    <t xml:space="preserve">재고 안정</t>
  </si>
  <si>
    <t xml:space="preserve">2026-12</t>
  </si>
  <si>
    <t xml:space="preserve">기준치 충족</t>
  </si>
  <si>
    <t xml:space="preserve">중국 거래</t>
  </si>
  <si>
    <r>
      <rPr>
        <b val="true"/>
        <sz val="10"/>
        <color rgb="FF004D5A"/>
        <rFont val="DejaVu Sans"/>
        <family val="2"/>
      </rPr>
      <t xml:space="preserve">광양 </t>
    </r>
    <r>
      <rPr>
        <b val="true"/>
        <sz val="10"/>
        <color rgb="FF004D5A"/>
        <rFont val="맑은 고딕"/>
        <family val="0"/>
        <charset val="1"/>
      </rPr>
      <t xml:space="preserve">2</t>
    </r>
    <r>
      <rPr>
        <b val="true"/>
        <sz val="10"/>
        <color rgb="FF004D5A"/>
        <rFont val="DejaVu Sans"/>
        <family val="2"/>
      </rPr>
      <t xml:space="preserve">구역</t>
    </r>
  </si>
  <si>
    <r>
      <rPr>
        <i val="true"/>
        <sz val="9"/>
        <color rgb="FF5D4037"/>
        <rFont val="DejaVu Sans"/>
        <family val="2"/>
      </rPr>
      <t xml:space="preserve">선박 대기 </t>
    </r>
    <r>
      <rPr>
        <i val="true"/>
        <sz val="9"/>
        <color rgb="FF5D4037"/>
        <rFont val="맑은 고딕"/>
        <family val="0"/>
        <charset val="1"/>
      </rPr>
      <t xml:space="preserve">0</t>
    </r>
    <r>
      <rPr>
        <i val="true"/>
        <sz val="9"/>
        <color rgb="FF5D4037"/>
        <rFont val="DejaVu Sans"/>
        <family val="2"/>
      </rPr>
      <t xml:space="preserve">건</t>
    </r>
  </si>
  <si>
    <t xml:space="preserve">장기계약 효과</t>
  </si>
  <si>
    <r>
      <rPr>
        <b val="true"/>
        <sz val="10"/>
        <color rgb="FF004D5A"/>
        <rFont val="DejaVu Sans"/>
        <family val="2"/>
      </rPr>
      <t xml:space="preserve">광양 </t>
    </r>
    <r>
      <rPr>
        <b val="true"/>
        <sz val="10"/>
        <color rgb="FF004D5A"/>
        <rFont val="맑은 고딕"/>
        <family val="0"/>
        <charset val="1"/>
      </rPr>
      <t xml:space="preserve">3</t>
    </r>
    <r>
      <rPr>
        <b val="true"/>
        <sz val="10"/>
        <color rgb="FF004D5A"/>
        <rFont val="DejaVu Sans"/>
        <family val="2"/>
      </rPr>
      <t xml:space="preserve">구역</t>
    </r>
  </si>
  <si>
    <r>
      <rPr>
        <b val="true"/>
        <sz val="10"/>
        <color rgb="FF004D5A"/>
        <rFont val="DejaVu Sans"/>
        <family val="2"/>
      </rPr>
      <t xml:space="preserve">광양 </t>
    </r>
    <r>
      <rPr>
        <b val="true"/>
        <sz val="10"/>
        <color rgb="FF004D5A"/>
        <rFont val="맑은 고딕"/>
        <family val="0"/>
        <charset val="1"/>
      </rPr>
      <t xml:space="preserve">4</t>
    </r>
    <r>
      <rPr>
        <b val="true"/>
        <sz val="10"/>
        <color rgb="FF004D5A"/>
        <rFont val="DejaVu Sans"/>
        <family val="2"/>
      </rPr>
      <t xml:space="preserve">구역</t>
    </r>
  </si>
  <si>
    <r>
      <rPr>
        <b val="true"/>
        <sz val="18"/>
        <color rgb="FFFFFFFF"/>
        <rFont val="DejaVu Sans"/>
        <family val="2"/>
      </rPr>
      <t xml:space="preserve">🌊 구역별 연간 요약 </t>
    </r>
    <r>
      <rPr>
        <b val="true"/>
        <sz val="18"/>
        <color rgb="FFFFFFFF"/>
        <rFont val="맑은 고딕"/>
        <family val="0"/>
        <charset val="1"/>
      </rPr>
      <t xml:space="preserve">(2026)</t>
    </r>
  </si>
  <si>
    <r>
      <rPr>
        <b val="true"/>
        <sz val="11"/>
        <color rgb="FFFFFFFF"/>
        <rFont val="DejaVu Sans"/>
        <family val="2"/>
      </rPr>
      <t xml:space="preserve">저장량 합계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천톤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</si>
  <si>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송출량 합계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천톤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</si>
  <si>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벙커링 합계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톤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</si>
  <si>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반출입 합계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톤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</si>
  <si>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평균 가동률</t>
    </r>
    <r>
      <rPr>
        <b val="true"/>
        <sz val="11"/>
        <color rgb="FFFFFFFF"/>
        <rFont val="맑은 고딕"/>
        <family val="0"/>
        <charset val="1"/>
      </rPr>
      <t xml:space="preserve">(%)</t>
    </r>
  </si>
  <si>
    <r>
      <rPr>
        <b val="true"/>
        <sz val="10"/>
        <rFont val="DejaVu Sans"/>
        <family val="2"/>
      </rPr>
      <t xml:space="preserve">광양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DejaVu Sans"/>
        <family val="2"/>
      </rPr>
      <t xml:space="preserve">구역</t>
    </r>
  </si>
  <si>
    <r>
      <rPr>
        <sz val="10"/>
        <rFont val="DejaVu Sans"/>
        <family val="2"/>
      </rPr>
      <t xml:space="preserve">주력 구역 </t>
    </r>
    <r>
      <rPr>
        <sz val="10"/>
        <rFont val="맑은 고딕"/>
        <family val="0"/>
        <charset val="1"/>
      </rPr>
      <t xml:space="preserve">- </t>
    </r>
    <r>
      <rPr>
        <sz val="10"/>
        <rFont val="DejaVu Sans"/>
        <family val="2"/>
      </rPr>
      <t xml:space="preserve">안정적 운영</t>
    </r>
  </si>
  <si>
    <r>
      <rPr>
        <b val="true"/>
        <sz val="10"/>
        <rFont val="DejaVu Sans"/>
        <family val="2"/>
      </rPr>
      <t xml:space="preserve">광양 </t>
    </r>
    <r>
      <rPr>
        <b val="true"/>
        <sz val="10"/>
        <rFont val="맑은 고딕"/>
        <family val="0"/>
        <charset val="1"/>
      </rPr>
      <t xml:space="preserve">2</t>
    </r>
    <r>
      <rPr>
        <b val="true"/>
        <sz val="10"/>
        <rFont val="DejaVu Sans"/>
        <family val="2"/>
      </rPr>
      <t xml:space="preserve">구역</t>
    </r>
  </si>
  <si>
    <r>
      <rPr>
        <sz val="10"/>
        <rFont val="DejaVu Sans"/>
        <family val="2"/>
      </rPr>
      <t xml:space="preserve">확장 구역 </t>
    </r>
    <r>
      <rPr>
        <sz val="10"/>
        <rFont val="맑은 고딕"/>
        <family val="0"/>
        <charset val="1"/>
      </rPr>
      <t xml:space="preserve">- </t>
    </r>
    <r>
      <rPr>
        <sz val="10"/>
        <rFont val="DejaVu Sans"/>
        <family val="2"/>
      </rPr>
      <t xml:space="preserve">가동률 상승 추세</t>
    </r>
  </si>
  <si>
    <r>
      <rPr>
        <b val="true"/>
        <sz val="10"/>
        <rFont val="DejaVu Sans"/>
        <family val="2"/>
      </rPr>
      <t xml:space="preserve">광양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DejaVu Sans"/>
        <family val="2"/>
      </rPr>
      <t xml:space="preserve">구역</t>
    </r>
  </si>
  <si>
    <r>
      <rPr>
        <sz val="10"/>
        <rFont val="DejaVu Sans"/>
        <family val="2"/>
      </rPr>
      <t xml:space="preserve">신규 구역 </t>
    </r>
    <r>
      <rPr>
        <sz val="10"/>
        <rFont val="맑은 고딕"/>
        <family val="0"/>
        <charset val="1"/>
      </rPr>
      <t xml:space="preserve">- </t>
    </r>
    <r>
      <rPr>
        <sz val="10"/>
        <rFont val="DejaVu Sans"/>
        <family val="2"/>
      </rPr>
      <t xml:space="preserve">거래 다각화</t>
    </r>
  </si>
  <si>
    <r>
      <rPr>
        <b val="true"/>
        <sz val="10"/>
        <rFont val="DejaVu Sans"/>
        <family val="2"/>
      </rPr>
      <t xml:space="preserve">광양 </t>
    </r>
    <r>
      <rPr>
        <b val="true"/>
        <sz val="10"/>
        <rFont val="맑은 고딕"/>
        <family val="0"/>
        <charset val="1"/>
      </rPr>
      <t xml:space="preserve">4</t>
    </r>
    <r>
      <rPr>
        <b val="true"/>
        <sz val="10"/>
        <rFont val="DejaVu Sans"/>
        <family val="2"/>
      </rPr>
      <t xml:space="preserve">구역</t>
    </r>
  </si>
  <si>
    <r>
      <rPr>
        <sz val="10"/>
        <rFont val="DejaVu Sans"/>
        <family val="2"/>
      </rPr>
      <t xml:space="preserve">전략 구역 </t>
    </r>
    <r>
      <rPr>
        <sz val="10"/>
        <rFont val="맑은 고딕"/>
        <family val="0"/>
        <charset val="1"/>
      </rPr>
      <t xml:space="preserve">- </t>
    </r>
    <r>
      <rPr>
        <sz val="10"/>
        <rFont val="DejaVu Sans"/>
        <family val="2"/>
      </rPr>
      <t xml:space="preserve">글로벌 거점</t>
    </r>
  </si>
  <si>
    <t xml:space="preserve">전체 합계</t>
  </si>
  <si>
    <r>
      <rPr>
        <b val="true"/>
        <sz val="11"/>
        <color rgb="FFFFFFFF"/>
        <rFont val="맑은 고딕"/>
        <family val="0"/>
        <charset val="1"/>
      </rPr>
      <t xml:space="preserve">2026 </t>
    </r>
    <r>
      <rPr>
        <b val="true"/>
        <sz val="11"/>
        <color rgb="FFFFFFFF"/>
        <rFont val="DejaVu Sans"/>
        <family val="2"/>
      </rPr>
      <t xml:space="preserve">연간 합산 실적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</si>
</sst>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;[RED]\(0.0%\);\-"/>
    <numFmt numFmtId="167" formatCode="#,##0"/>
    <numFmt numFmtId="168" formatCode="0.0\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DejaVu Sans"/>
      <family val="2"/>
    </font>
    <font>
      <b val="true"/>
      <sz val="20"/>
      <color rgb="FFFFFFFF"/>
      <name val="맑은 고딕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맑은 고딕"/>
      <family val="0"/>
      <charset val="1"/>
    </font>
    <font>
      <b val="true"/>
      <sz val="10"/>
      <color rgb="FF004D5A"/>
      <name val="DejaVu Sans"/>
      <family val="2"/>
    </font>
    <font>
      <b val="true"/>
      <sz val="10"/>
      <color rgb="FF004D5A"/>
      <name val="맑은 고딕"/>
      <family val="0"/>
      <charset val="1"/>
    </font>
    <font>
      <b val="true"/>
      <sz val="10"/>
      <color rgb="FF00474F"/>
      <name val="맑은 고딕"/>
      <family val="0"/>
      <charset val="1"/>
    </font>
    <font>
      <b val="true"/>
      <sz val="10"/>
      <color rgb="FF00474F"/>
      <name val="DejaVu Sans"/>
      <family val="2"/>
    </font>
    <font>
      <sz val="10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i val="true"/>
      <sz val="10"/>
      <name val="맑은 고딕"/>
      <family val="0"/>
      <charset val="1"/>
    </font>
    <font>
      <i val="true"/>
      <sz val="9"/>
      <color rgb="FF5D4037"/>
      <name val="DejaVu Sans"/>
      <family val="2"/>
    </font>
    <font>
      <i val="true"/>
      <sz val="9"/>
      <color rgb="FF5D4037"/>
      <name val="맑은 고딕"/>
      <family val="0"/>
      <charset val="1"/>
    </font>
    <font>
      <b val="true"/>
      <sz val="18"/>
      <color rgb="FFFFFFFF"/>
      <name val="DejaVu Sans"/>
      <family val="2"/>
    </font>
    <font>
      <b val="true"/>
      <sz val="18"/>
      <color rgb="FFFFFFFF"/>
      <name val="맑은 고딕"/>
      <family val="0"/>
      <charset val="1"/>
    </font>
    <font>
      <b val="true"/>
      <sz val="10"/>
      <name val="DejaVu Sans"/>
      <family val="2"/>
    </font>
    <font>
      <b val="true"/>
      <sz val="10"/>
      <name val="맑은 고딕"/>
      <family val="0"/>
      <charset val="1"/>
    </font>
    <font>
      <sz val="10"/>
      <name val="DejaVu Sans"/>
      <family val="2"/>
    </font>
  </fonts>
  <fills count="12">
    <fill>
      <patternFill patternType="none"/>
    </fill>
    <fill>
      <patternFill patternType="gray125"/>
    </fill>
    <fill>
      <patternFill patternType="solid">
        <fgColor rgb="FF004D5A"/>
        <bgColor rgb="FF00474F"/>
      </patternFill>
    </fill>
    <fill>
      <patternFill patternType="solid">
        <fgColor rgb="FF00838F"/>
        <bgColor rgb="FF008080"/>
      </patternFill>
    </fill>
    <fill>
      <patternFill patternType="solid">
        <fgColor rgb="FFB2EBF2"/>
        <bgColor rgb="FFB3E5FC"/>
      </patternFill>
    </fill>
    <fill>
      <patternFill patternType="solid">
        <fgColor rgb="FFE0F7FA"/>
        <bgColor rgb="FFFFFFFF"/>
      </patternFill>
    </fill>
    <fill>
      <patternFill patternType="solid">
        <fgColor rgb="FF00ACC1"/>
        <bgColor rgb="FF00838F"/>
      </patternFill>
    </fill>
    <fill>
      <patternFill patternType="solid">
        <fgColor rgb="FFFFF9C4"/>
        <bgColor rgb="FFFFFF99"/>
      </patternFill>
    </fill>
    <fill>
      <patternFill patternType="solid">
        <fgColor rgb="FFFFFFFF"/>
        <bgColor rgb="FFE0F7FA"/>
      </patternFill>
    </fill>
    <fill>
      <patternFill patternType="solid">
        <fgColor rgb="FFB2DFDB"/>
        <bgColor rgb="FFB3E5FC"/>
      </patternFill>
    </fill>
    <fill>
      <patternFill patternType="solid">
        <fgColor rgb="FFC5E1A5"/>
        <bgColor rgb="FFB2DFDB"/>
      </patternFill>
    </fill>
    <fill>
      <patternFill patternType="solid">
        <fgColor rgb="FFB3E5FC"/>
        <bgColor rgb="FFB2EB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004D5A"/>
      </left>
      <right style="medium">
        <color rgb="FF004D5A"/>
      </right>
      <top style="medium">
        <color rgb="FF004D5A"/>
      </top>
      <bottom style="medium">
        <color rgb="FF004D5A"/>
      </bottom>
      <diagonal/>
    </border>
    <border diagonalUp="false" diagonalDown="false">
      <left style="thin">
        <color rgb="FF00838F"/>
      </left>
      <right style="thin">
        <color rgb="FF00838F"/>
      </right>
      <top style="thin">
        <color rgb="FF00838F"/>
      </top>
      <bottom style="thin">
        <color rgb="FF00838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38F"/>
      <rgbColor rgb="FFC0C0C0"/>
      <rgbColor rgb="FF808080"/>
      <rgbColor rgb="FF9999FF"/>
      <rgbColor rgb="FF993366"/>
      <rgbColor rgb="FFFFF9C4"/>
      <rgbColor rgb="FFE0F7FA"/>
      <rgbColor rgb="FF660066"/>
      <rgbColor rgb="FFFF8080"/>
      <rgbColor rgb="FF0066CC"/>
      <rgbColor rgb="FFB3E5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CC1"/>
      <rgbColor rgb="FFB2EBF2"/>
      <rgbColor rgb="FFC5E1A5"/>
      <rgbColor rgb="FFFFFF99"/>
      <rgbColor rgb="FFB2DFDB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74F"/>
      <rgbColor rgb="FF339966"/>
      <rgbColor rgb="FF004D5A"/>
      <rgbColor rgb="FF333300"/>
      <rgbColor rgb="FF993300"/>
      <rgbColor rgb="FF993366"/>
      <rgbColor rgb="FF333399"/>
      <rgbColor rgb="FF5D40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4D5A"/>
    <pageSetUpPr fitToPage="false"/>
  </sheetPr>
  <dimension ref="A1:M1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1"/>
    <col collapsed="false" customWidth="true" hidden="false" outlineLevel="0" max="4" min="4" style="0" width="7"/>
    <col collapsed="false" customWidth="true" hidden="false" outlineLevel="0" max="10" min="5" style="0" width="9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26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3" t="s">
        <v>12</v>
      </c>
      <c r="L4" s="3" t="s">
        <v>13</v>
      </c>
      <c r="M4" s="3" t="s">
        <v>14</v>
      </c>
    </row>
    <row r="5" customFormat="false" ht="15" hidden="false" customHeight="false" outlineLevel="0" collapsed="false">
      <c r="A5" s="5" t="s">
        <v>15</v>
      </c>
      <c r="B5" s="6" t="s">
        <v>16</v>
      </c>
      <c r="C5" s="7" t="s">
        <v>17</v>
      </c>
      <c r="D5" s="7" t="s">
        <v>18</v>
      </c>
      <c r="E5" s="8" t="n">
        <v>73</v>
      </c>
      <c r="F5" s="8" t="n">
        <v>72</v>
      </c>
      <c r="G5" s="8" t="n">
        <v>67</v>
      </c>
      <c r="H5" s="8" t="n">
        <v>72</v>
      </c>
      <c r="I5" s="8" t="n">
        <v>77</v>
      </c>
      <c r="J5" s="8" t="n">
        <v>18</v>
      </c>
      <c r="K5" s="9" t="n">
        <f aca="false">SUM(E5:J5)</f>
        <v>379</v>
      </c>
      <c r="L5" s="10" t="s">
        <v>19</v>
      </c>
      <c r="M5" s="11" t="s">
        <v>20</v>
      </c>
    </row>
    <row r="6" customFormat="false" ht="15" hidden="false" customHeight="false" outlineLevel="0" collapsed="false">
      <c r="A6" s="5" t="s">
        <v>15</v>
      </c>
      <c r="B6" s="6" t="s">
        <v>16</v>
      </c>
      <c r="C6" s="7" t="s">
        <v>21</v>
      </c>
      <c r="D6" s="7" t="s">
        <v>18</v>
      </c>
      <c r="E6" s="8" t="n">
        <v>42</v>
      </c>
      <c r="F6" s="8" t="n">
        <v>40</v>
      </c>
      <c r="G6" s="8" t="n">
        <v>45</v>
      </c>
      <c r="H6" s="8" t="n">
        <v>41</v>
      </c>
      <c r="I6" s="8" t="n">
        <v>46</v>
      </c>
      <c r="J6" s="8" t="n">
        <v>7</v>
      </c>
      <c r="K6" s="9" t="n">
        <f aca="false">SUM(E6:J6)</f>
        <v>221</v>
      </c>
      <c r="L6" s="10" t="s">
        <v>19</v>
      </c>
      <c r="M6" s="11" t="s">
        <v>22</v>
      </c>
    </row>
    <row r="7" customFormat="false" ht="15" hidden="false" customHeight="false" outlineLevel="0" collapsed="false">
      <c r="A7" s="5" t="s">
        <v>15</v>
      </c>
      <c r="B7" s="6" t="s">
        <v>16</v>
      </c>
      <c r="C7" s="7" t="s">
        <v>23</v>
      </c>
      <c r="D7" s="7" t="s">
        <v>24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1907</v>
      </c>
      <c r="J7" s="8" t="n">
        <v>0</v>
      </c>
      <c r="K7" s="9" t="n">
        <f aca="false">SUM(E7:J7)</f>
        <v>1907</v>
      </c>
      <c r="L7" s="10" t="s">
        <v>19</v>
      </c>
      <c r="M7" s="11" t="s">
        <v>25</v>
      </c>
    </row>
    <row r="8" customFormat="false" ht="15" hidden="false" customHeight="false" outlineLevel="0" collapsed="false">
      <c r="A8" s="5" t="s">
        <v>15</v>
      </c>
      <c r="B8" s="6" t="s">
        <v>16</v>
      </c>
      <c r="C8" s="7" t="s">
        <v>26</v>
      </c>
      <c r="D8" s="7" t="s">
        <v>24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3262</v>
      </c>
      <c r="K8" s="9" t="n">
        <f aca="false">SUM(E8:J8)</f>
        <v>3262</v>
      </c>
      <c r="L8" s="10" t="s">
        <v>19</v>
      </c>
      <c r="M8" s="11" t="s">
        <v>27</v>
      </c>
    </row>
    <row r="9" customFormat="false" ht="15" hidden="false" customHeight="false" outlineLevel="0" collapsed="false">
      <c r="A9" s="5" t="s">
        <v>15</v>
      </c>
      <c r="B9" s="12" t="s">
        <v>28</v>
      </c>
      <c r="C9" s="13" t="s">
        <v>17</v>
      </c>
      <c r="D9" s="13" t="s">
        <v>18</v>
      </c>
      <c r="E9" s="14" t="n">
        <v>74</v>
      </c>
      <c r="F9" s="14" t="n">
        <v>72</v>
      </c>
      <c r="G9" s="14" t="n">
        <v>70</v>
      </c>
      <c r="H9" s="14" t="n">
        <v>73</v>
      </c>
      <c r="I9" s="14" t="n">
        <v>74</v>
      </c>
      <c r="J9" s="14" t="n">
        <v>31</v>
      </c>
      <c r="K9" s="9" t="n">
        <f aca="false">SUM(E9:J9)</f>
        <v>394</v>
      </c>
      <c r="L9" s="15" t="n">
        <f aca="false">IFERROR((K9-K5)/K5,0)</f>
        <v>0.0395778364116095</v>
      </c>
      <c r="M9" s="11" t="s">
        <v>29</v>
      </c>
    </row>
    <row r="10" customFormat="false" ht="15" hidden="false" customHeight="false" outlineLevel="0" collapsed="false">
      <c r="A10" s="5" t="s">
        <v>15</v>
      </c>
      <c r="B10" s="12" t="s">
        <v>28</v>
      </c>
      <c r="C10" s="13" t="s">
        <v>21</v>
      </c>
      <c r="D10" s="13" t="s">
        <v>18</v>
      </c>
      <c r="E10" s="14" t="n">
        <v>46</v>
      </c>
      <c r="F10" s="14" t="n">
        <v>43</v>
      </c>
      <c r="G10" s="14" t="n">
        <v>43</v>
      </c>
      <c r="H10" s="14" t="n">
        <v>48</v>
      </c>
      <c r="I10" s="14" t="n">
        <v>47</v>
      </c>
      <c r="J10" s="14" t="n">
        <v>14</v>
      </c>
      <c r="K10" s="9" t="n">
        <f aca="false">SUM(E10:J10)</f>
        <v>241</v>
      </c>
      <c r="L10" s="15" t="n">
        <f aca="false">IFERROR((K10-K6)/K6,0)</f>
        <v>0.0904977375565611</v>
      </c>
      <c r="M10" s="16"/>
    </row>
    <row r="11" customFormat="false" ht="15" hidden="false" customHeight="false" outlineLevel="0" collapsed="false">
      <c r="A11" s="5" t="s">
        <v>15</v>
      </c>
      <c r="B11" s="12" t="s">
        <v>28</v>
      </c>
      <c r="C11" s="13" t="s">
        <v>23</v>
      </c>
      <c r="D11" s="13" t="s">
        <v>24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2141</v>
      </c>
      <c r="J11" s="14" t="n">
        <v>0</v>
      </c>
      <c r="K11" s="9" t="n">
        <f aca="false">SUM(E11:J11)</f>
        <v>2141</v>
      </c>
      <c r="L11" s="15" t="n">
        <f aca="false">IFERROR((K11-K7)/K7,0)</f>
        <v>0.122705820660724</v>
      </c>
      <c r="M11" s="11" t="s">
        <v>30</v>
      </c>
    </row>
    <row r="12" customFormat="false" ht="15" hidden="false" customHeight="false" outlineLevel="0" collapsed="false">
      <c r="A12" s="5" t="s">
        <v>15</v>
      </c>
      <c r="B12" s="12" t="s">
        <v>28</v>
      </c>
      <c r="C12" s="13" t="s">
        <v>26</v>
      </c>
      <c r="D12" s="13" t="s">
        <v>24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4387</v>
      </c>
      <c r="K12" s="9" t="n">
        <f aca="false">SUM(E12:J12)</f>
        <v>4387</v>
      </c>
      <c r="L12" s="15" t="n">
        <f aca="false">IFERROR((K12-K8)/K8,0)</f>
        <v>0.344880441446965</v>
      </c>
      <c r="M12" s="11" t="s">
        <v>31</v>
      </c>
    </row>
    <row r="13" customFormat="false" ht="15" hidden="false" customHeight="false" outlineLevel="0" collapsed="false">
      <c r="A13" s="5" t="s">
        <v>15</v>
      </c>
      <c r="B13" s="6" t="s">
        <v>32</v>
      </c>
      <c r="C13" s="7" t="s">
        <v>17</v>
      </c>
      <c r="D13" s="7" t="s">
        <v>18</v>
      </c>
      <c r="E13" s="8" t="n">
        <v>80</v>
      </c>
      <c r="F13" s="8" t="n">
        <v>78</v>
      </c>
      <c r="G13" s="8" t="n">
        <v>72</v>
      </c>
      <c r="H13" s="8" t="n">
        <v>80</v>
      </c>
      <c r="I13" s="8" t="n">
        <v>73</v>
      </c>
      <c r="J13" s="8" t="n">
        <v>45</v>
      </c>
      <c r="K13" s="9" t="n">
        <f aca="false">SUM(E13:J13)</f>
        <v>428</v>
      </c>
      <c r="L13" s="10" t="n">
        <f aca="false">IFERROR((K13-K9)/K9,0)</f>
        <v>0.0862944162436548</v>
      </c>
      <c r="M13" s="11" t="s">
        <v>33</v>
      </c>
    </row>
    <row r="14" customFormat="false" ht="15" hidden="false" customHeight="false" outlineLevel="0" collapsed="false">
      <c r="A14" s="5" t="s">
        <v>15</v>
      </c>
      <c r="B14" s="6" t="s">
        <v>32</v>
      </c>
      <c r="C14" s="7" t="s">
        <v>21</v>
      </c>
      <c r="D14" s="7" t="s">
        <v>18</v>
      </c>
      <c r="E14" s="8" t="n">
        <v>55</v>
      </c>
      <c r="F14" s="8" t="n">
        <v>49</v>
      </c>
      <c r="G14" s="8" t="n">
        <v>47</v>
      </c>
      <c r="H14" s="8" t="n">
        <v>52</v>
      </c>
      <c r="I14" s="8" t="n">
        <v>51</v>
      </c>
      <c r="J14" s="8" t="n">
        <v>25</v>
      </c>
      <c r="K14" s="9" t="n">
        <f aca="false">SUM(E14:J14)</f>
        <v>279</v>
      </c>
      <c r="L14" s="10" t="n">
        <f aca="false">IFERROR((K14-K10)/K10,0)</f>
        <v>0.157676348547718</v>
      </c>
      <c r="M14" s="11" t="s">
        <v>34</v>
      </c>
    </row>
    <row r="15" customFormat="false" ht="15" hidden="false" customHeight="false" outlineLevel="0" collapsed="false">
      <c r="A15" s="5" t="s">
        <v>15</v>
      </c>
      <c r="B15" s="6" t="s">
        <v>32</v>
      </c>
      <c r="C15" s="7" t="s">
        <v>23</v>
      </c>
      <c r="D15" s="7" t="s">
        <v>24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2575</v>
      </c>
      <c r="J15" s="8" t="n">
        <v>0</v>
      </c>
      <c r="K15" s="9" t="n">
        <f aca="false">SUM(E15:J15)</f>
        <v>2575</v>
      </c>
      <c r="L15" s="10" t="n">
        <f aca="false">IFERROR((K15-K11)/K11,0)</f>
        <v>0.202709014479215</v>
      </c>
      <c r="M15" s="11" t="s">
        <v>35</v>
      </c>
    </row>
    <row r="16" customFormat="false" ht="15" hidden="false" customHeight="false" outlineLevel="0" collapsed="false">
      <c r="A16" s="5" t="s">
        <v>15</v>
      </c>
      <c r="B16" s="6" t="s">
        <v>32</v>
      </c>
      <c r="C16" s="7" t="s">
        <v>26</v>
      </c>
      <c r="D16" s="7" t="s">
        <v>24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6137</v>
      </c>
      <c r="K16" s="9" t="n">
        <f aca="false">SUM(E16:J16)</f>
        <v>6137</v>
      </c>
      <c r="L16" s="10" t="n">
        <f aca="false">IFERROR((K16-K12)/K12,0)</f>
        <v>0.398905858217461</v>
      </c>
      <c r="M16" s="11" t="s">
        <v>36</v>
      </c>
    </row>
    <row r="17" customFormat="false" ht="15" hidden="false" customHeight="false" outlineLevel="0" collapsed="false">
      <c r="A17" s="5" t="s">
        <v>15</v>
      </c>
      <c r="B17" s="12" t="s">
        <v>37</v>
      </c>
      <c r="C17" s="13" t="s">
        <v>17</v>
      </c>
      <c r="D17" s="13" t="s">
        <v>18</v>
      </c>
      <c r="E17" s="14" t="n">
        <v>78</v>
      </c>
      <c r="F17" s="14" t="n">
        <v>73</v>
      </c>
      <c r="G17" s="14" t="n">
        <v>73</v>
      </c>
      <c r="H17" s="14" t="n">
        <v>74</v>
      </c>
      <c r="I17" s="14" t="n">
        <v>77</v>
      </c>
      <c r="J17" s="14" t="n">
        <v>57</v>
      </c>
      <c r="K17" s="9" t="n">
        <f aca="false">SUM(E17:J17)</f>
        <v>432</v>
      </c>
      <c r="L17" s="15" t="n">
        <f aca="false">IFERROR((K17-K13)/K13,0)</f>
        <v>0.00934579439252336</v>
      </c>
      <c r="M17" s="11" t="s">
        <v>29</v>
      </c>
    </row>
    <row r="18" customFormat="false" ht="15" hidden="false" customHeight="false" outlineLevel="0" collapsed="false">
      <c r="A18" s="5" t="s">
        <v>15</v>
      </c>
      <c r="B18" s="12" t="s">
        <v>37</v>
      </c>
      <c r="C18" s="13" t="s">
        <v>21</v>
      </c>
      <c r="D18" s="13" t="s">
        <v>18</v>
      </c>
      <c r="E18" s="14" t="n">
        <v>48</v>
      </c>
      <c r="F18" s="14" t="n">
        <v>44</v>
      </c>
      <c r="G18" s="14" t="n">
        <v>42</v>
      </c>
      <c r="H18" s="14" t="n">
        <v>48</v>
      </c>
      <c r="I18" s="14" t="n">
        <v>50</v>
      </c>
      <c r="J18" s="14" t="n">
        <v>30</v>
      </c>
      <c r="K18" s="9" t="n">
        <f aca="false">SUM(E18:J18)</f>
        <v>262</v>
      </c>
      <c r="L18" s="15" t="n">
        <f aca="false">IFERROR((K18-K14)/K14,0)</f>
        <v>-0.0609318996415771</v>
      </c>
      <c r="M18" s="16"/>
    </row>
    <row r="19" customFormat="false" ht="15" hidden="false" customHeight="false" outlineLevel="0" collapsed="false">
      <c r="A19" s="5" t="s">
        <v>15</v>
      </c>
      <c r="B19" s="12" t="s">
        <v>37</v>
      </c>
      <c r="C19" s="13" t="s">
        <v>23</v>
      </c>
      <c r="D19" s="13" t="s">
        <v>24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2322</v>
      </c>
      <c r="J19" s="14" t="n">
        <v>0</v>
      </c>
      <c r="K19" s="9" t="n">
        <f aca="false">SUM(E19:J19)</f>
        <v>2322</v>
      </c>
      <c r="L19" s="15" t="n">
        <f aca="false">IFERROR((K19-K15)/K15,0)</f>
        <v>-0.098252427184466</v>
      </c>
      <c r="M19" s="11" t="s">
        <v>38</v>
      </c>
    </row>
    <row r="20" customFormat="false" ht="15" hidden="false" customHeight="false" outlineLevel="0" collapsed="false">
      <c r="A20" s="5" t="s">
        <v>15</v>
      </c>
      <c r="B20" s="12" t="s">
        <v>37</v>
      </c>
      <c r="C20" s="13" t="s">
        <v>26</v>
      </c>
      <c r="D20" s="13" t="s">
        <v>24</v>
      </c>
      <c r="E20" s="14" t="n">
        <v>0</v>
      </c>
      <c r="F20" s="14" t="n">
        <v>0</v>
      </c>
      <c r="G20" s="14" t="n">
        <v>0</v>
      </c>
      <c r="H20" s="14" t="n">
        <v>0</v>
      </c>
      <c r="I20" s="14" t="n">
        <v>0</v>
      </c>
      <c r="J20" s="14" t="n">
        <v>7266</v>
      </c>
      <c r="K20" s="9" t="n">
        <f aca="false">SUM(E20:J20)</f>
        <v>7266</v>
      </c>
      <c r="L20" s="15" t="n">
        <f aca="false">IFERROR((K20-K16)/K16,0)</f>
        <v>0.183966107218511</v>
      </c>
      <c r="M20" s="11" t="s">
        <v>39</v>
      </c>
    </row>
    <row r="21" customFormat="false" ht="15" hidden="false" customHeight="false" outlineLevel="0" collapsed="false">
      <c r="A21" s="5" t="s">
        <v>15</v>
      </c>
      <c r="B21" s="6" t="s">
        <v>40</v>
      </c>
      <c r="C21" s="7" t="s">
        <v>17</v>
      </c>
      <c r="D21" s="7" t="s">
        <v>18</v>
      </c>
      <c r="E21" s="8" t="n">
        <v>71</v>
      </c>
      <c r="F21" s="8" t="n">
        <v>67</v>
      </c>
      <c r="G21" s="8" t="n">
        <v>71</v>
      </c>
      <c r="H21" s="8" t="n">
        <v>74</v>
      </c>
      <c r="I21" s="8" t="n">
        <v>74</v>
      </c>
      <c r="J21" s="8" t="n">
        <v>68</v>
      </c>
      <c r="K21" s="9" t="n">
        <f aca="false">SUM(E21:J21)</f>
        <v>425</v>
      </c>
      <c r="L21" s="10" t="n">
        <f aca="false">IFERROR((K21-K17)/K17,0)</f>
        <v>-0.0162037037037037</v>
      </c>
      <c r="M21" s="11" t="s">
        <v>20</v>
      </c>
    </row>
    <row r="22" customFormat="false" ht="15" hidden="false" customHeight="false" outlineLevel="0" collapsed="false">
      <c r="A22" s="5" t="s">
        <v>15</v>
      </c>
      <c r="B22" s="6" t="s">
        <v>40</v>
      </c>
      <c r="C22" s="7" t="s">
        <v>21</v>
      </c>
      <c r="D22" s="7" t="s">
        <v>18</v>
      </c>
      <c r="E22" s="8" t="n">
        <v>46</v>
      </c>
      <c r="F22" s="8" t="n">
        <v>41</v>
      </c>
      <c r="G22" s="8" t="n">
        <v>37</v>
      </c>
      <c r="H22" s="8" t="n">
        <v>43</v>
      </c>
      <c r="I22" s="8" t="n">
        <v>44</v>
      </c>
      <c r="J22" s="8" t="n">
        <v>33</v>
      </c>
      <c r="K22" s="9" t="n">
        <f aca="false">SUM(E22:J22)</f>
        <v>244</v>
      </c>
      <c r="L22" s="10" t="n">
        <f aca="false">IFERROR((K22-K18)/K18,0)</f>
        <v>-0.0687022900763359</v>
      </c>
      <c r="M22" s="11" t="s">
        <v>22</v>
      </c>
    </row>
    <row r="23" customFormat="false" ht="15" hidden="false" customHeight="false" outlineLevel="0" collapsed="false">
      <c r="A23" s="5" t="s">
        <v>15</v>
      </c>
      <c r="B23" s="6" t="s">
        <v>40</v>
      </c>
      <c r="C23" s="7" t="s">
        <v>23</v>
      </c>
      <c r="D23" s="7" t="s">
        <v>24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2112</v>
      </c>
      <c r="J23" s="8" t="n">
        <v>0</v>
      </c>
      <c r="K23" s="9" t="n">
        <f aca="false">SUM(E23:J23)</f>
        <v>2112</v>
      </c>
      <c r="L23" s="10" t="n">
        <f aca="false">IFERROR((K23-K19)/K19,0)</f>
        <v>-0.0904392764857881</v>
      </c>
      <c r="M23" s="11" t="s">
        <v>30</v>
      </c>
    </row>
    <row r="24" customFormat="false" ht="15" hidden="false" customHeight="false" outlineLevel="0" collapsed="false">
      <c r="A24" s="5" t="s">
        <v>15</v>
      </c>
      <c r="B24" s="6" t="s">
        <v>40</v>
      </c>
      <c r="C24" s="7" t="s">
        <v>26</v>
      </c>
      <c r="D24" s="7" t="s">
        <v>24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9214</v>
      </c>
      <c r="K24" s="9" t="n">
        <f aca="false">SUM(E24:J24)</f>
        <v>9214</v>
      </c>
      <c r="L24" s="10" t="n">
        <f aca="false">IFERROR((K24-K20)/K20,0)</f>
        <v>0.268097990641343</v>
      </c>
      <c r="M24" s="11" t="s">
        <v>27</v>
      </c>
    </row>
    <row r="25" customFormat="false" ht="15" hidden="false" customHeight="false" outlineLevel="0" collapsed="false">
      <c r="A25" s="5" t="s">
        <v>15</v>
      </c>
      <c r="B25" s="12" t="s">
        <v>41</v>
      </c>
      <c r="C25" s="13" t="s">
        <v>17</v>
      </c>
      <c r="D25" s="13" t="s">
        <v>18</v>
      </c>
      <c r="E25" s="14" t="n">
        <v>78</v>
      </c>
      <c r="F25" s="14" t="n">
        <v>76</v>
      </c>
      <c r="G25" s="14" t="n">
        <v>75</v>
      </c>
      <c r="H25" s="14" t="n">
        <v>75</v>
      </c>
      <c r="I25" s="14" t="n">
        <v>70</v>
      </c>
      <c r="J25" s="14" t="n">
        <v>77</v>
      </c>
      <c r="K25" s="9" t="n">
        <f aca="false">SUM(E25:J25)</f>
        <v>451</v>
      </c>
      <c r="L25" s="15" t="n">
        <f aca="false">IFERROR((K25-K21)/K21,0)</f>
        <v>0.0611764705882353</v>
      </c>
      <c r="M25" s="11" t="s">
        <v>20</v>
      </c>
    </row>
    <row r="26" customFormat="false" ht="15" hidden="false" customHeight="false" outlineLevel="0" collapsed="false">
      <c r="A26" s="5" t="s">
        <v>15</v>
      </c>
      <c r="B26" s="12" t="s">
        <v>41</v>
      </c>
      <c r="C26" s="13" t="s">
        <v>21</v>
      </c>
      <c r="D26" s="13" t="s">
        <v>18</v>
      </c>
      <c r="E26" s="14" t="n">
        <v>39</v>
      </c>
      <c r="F26" s="14" t="n">
        <v>37</v>
      </c>
      <c r="G26" s="14" t="n">
        <v>35</v>
      </c>
      <c r="H26" s="14" t="n">
        <v>40</v>
      </c>
      <c r="I26" s="14" t="n">
        <v>42</v>
      </c>
      <c r="J26" s="14" t="n">
        <v>45</v>
      </c>
      <c r="K26" s="9" t="n">
        <f aca="false">SUM(E26:J26)</f>
        <v>238</v>
      </c>
      <c r="L26" s="15" t="n">
        <f aca="false">IFERROR((K26-K22)/K22,0)</f>
        <v>-0.0245901639344262</v>
      </c>
      <c r="M26" s="11" t="s">
        <v>42</v>
      </c>
    </row>
    <row r="27" customFormat="false" ht="15" hidden="false" customHeight="false" outlineLevel="0" collapsed="false">
      <c r="A27" s="5" t="s">
        <v>15</v>
      </c>
      <c r="B27" s="12" t="s">
        <v>41</v>
      </c>
      <c r="C27" s="13" t="s">
        <v>23</v>
      </c>
      <c r="D27" s="13" t="s">
        <v>24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1988</v>
      </c>
      <c r="J27" s="14" t="n">
        <v>0</v>
      </c>
      <c r="K27" s="9" t="n">
        <f aca="false">SUM(E27:J27)</f>
        <v>1988</v>
      </c>
      <c r="L27" s="15" t="n">
        <f aca="false">IFERROR((K27-K23)/K23,0)</f>
        <v>-0.0587121212121212</v>
      </c>
      <c r="M27" s="11" t="s">
        <v>43</v>
      </c>
    </row>
    <row r="28" customFormat="false" ht="15" hidden="false" customHeight="false" outlineLevel="0" collapsed="false">
      <c r="A28" s="5" t="s">
        <v>15</v>
      </c>
      <c r="B28" s="12" t="s">
        <v>41</v>
      </c>
      <c r="C28" s="13" t="s">
        <v>26</v>
      </c>
      <c r="D28" s="13" t="s">
        <v>24</v>
      </c>
      <c r="E28" s="14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9089</v>
      </c>
      <c r="K28" s="9" t="n">
        <f aca="false">SUM(E28:J28)</f>
        <v>9089</v>
      </c>
      <c r="L28" s="15" t="n">
        <f aca="false">IFERROR((K28-K24)/K24,0)</f>
        <v>-0.0135663121337096</v>
      </c>
      <c r="M28" s="11" t="s">
        <v>31</v>
      </c>
    </row>
    <row r="29" customFormat="false" ht="15" hidden="false" customHeight="false" outlineLevel="0" collapsed="false">
      <c r="A29" s="5" t="s">
        <v>15</v>
      </c>
      <c r="B29" s="6" t="s">
        <v>44</v>
      </c>
      <c r="C29" s="7" t="s">
        <v>17</v>
      </c>
      <c r="D29" s="7" t="s">
        <v>18</v>
      </c>
      <c r="E29" s="8" t="n">
        <v>80</v>
      </c>
      <c r="F29" s="8" t="n">
        <v>75</v>
      </c>
      <c r="G29" s="8" t="n">
        <v>78</v>
      </c>
      <c r="H29" s="8" t="n">
        <v>81</v>
      </c>
      <c r="I29" s="8" t="n">
        <v>73</v>
      </c>
      <c r="J29" s="8" t="n">
        <v>77</v>
      </c>
      <c r="K29" s="9" t="n">
        <f aca="false">SUM(E29:J29)</f>
        <v>464</v>
      </c>
      <c r="L29" s="10" t="n">
        <f aca="false">IFERROR((K29-K25)/K25,0)</f>
        <v>0.0288248337028825</v>
      </c>
      <c r="M29" s="11" t="s">
        <v>33</v>
      </c>
    </row>
    <row r="30" customFormat="false" ht="15" hidden="false" customHeight="false" outlineLevel="0" collapsed="false">
      <c r="A30" s="5" t="s">
        <v>15</v>
      </c>
      <c r="B30" s="6" t="s">
        <v>44</v>
      </c>
      <c r="C30" s="7" t="s">
        <v>21</v>
      </c>
      <c r="D30" s="7" t="s">
        <v>18</v>
      </c>
      <c r="E30" s="8" t="n">
        <v>76</v>
      </c>
      <c r="F30" s="8" t="n">
        <v>71</v>
      </c>
      <c r="G30" s="8" t="n">
        <v>70</v>
      </c>
      <c r="H30" s="8" t="n">
        <v>76</v>
      </c>
      <c r="I30" s="8" t="n">
        <v>77</v>
      </c>
      <c r="J30" s="8" t="n">
        <v>80</v>
      </c>
      <c r="K30" s="9" t="n">
        <f aca="false">SUM(E30:J30)</f>
        <v>450</v>
      </c>
      <c r="L30" s="10" t="n">
        <f aca="false">IFERROR((K30-K26)/K26,0)</f>
        <v>0.890756302521009</v>
      </c>
      <c r="M30" s="11" t="s">
        <v>45</v>
      </c>
    </row>
    <row r="31" customFormat="false" ht="15" hidden="false" customHeight="false" outlineLevel="0" collapsed="false">
      <c r="A31" s="5" t="s">
        <v>15</v>
      </c>
      <c r="B31" s="6" t="s">
        <v>44</v>
      </c>
      <c r="C31" s="7" t="s">
        <v>23</v>
      </c>
      <c r="D31" s="7" t="s">
        <v>24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2402</v>
      </c>
      <c r="J31" s="8" t="n">
        <v>0</v>
      </c>
      <c r="K31" s="9" t="n">
        <f aca="false">SUM(E31:J31)</f>
        <v>2402</v>
      </c>
      <c r="L31" s="10" t="n">
        <f aca="false">IFERROR((K31-K27)/K27,0)</f>
        <v>0.208249496981891</v>
      </c>
      <c r="M31" s="11" t="s">
        <v>38</v>
      </c>
    </row>
    <row r="32" customFormat="false" ht="15" hidden="false" customHeight="false" outlineLevel="0" collapsed="false">
      <c r="A32" s="5" t="s">
        <v>15</v>
      </c>
      <c r="B32" s="6" t="s">
        <v>44</v>
      </c>
      <c r="C32" s="7" t="s">
        <v>26</v>
      </c>
      <c r="D32" s="7" t="s">
        <v>24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11362</v>
      </c>
      <c r="K32" s="9" t="n">
        <f aca="false">SUM(E32:J32)</f>
        <v>11362</v>
      </c>
      <c r="L32" s="10" t="n">
        <f aca="false">IFERROR((K32-K28)/K28,0)</f>
        <v>0.250082517328639</v>
      </c>
      <c r="M32" s="11" t="s">
        <v>27</v>
      </c>
    </row>
    <row r="33" customFormat="false" ht="15" hidden="false" customHeight="false" outlineLevel="0" collapsed="false">
      <c r="A33" s="5" t="s">
        <v>15</v>
      </c>
      <c r="B33" s="12" t="s">
        <v>46</v>
      </c>
      <c r="C33" s="13" t="s">
        <v>17</v>
      </c>
      <c r="D33" s="13" t="s">
        <v>18</v>
      </c>
      <c r="E33" s="14" t="n">
        <v>70</v>
      </c>
      <c r="F33" s="14" t="n">
        <v>68</v>
      </c>
      <c r="G33" s="14" t="n">
        <v>68</v>
      </c>
      <c r="H33" s="14" t="n">
        <v>70</v>
      </c>
      <c r="I33" s="14" t="n">
        <v>67</v>
      </c>
      <c r="J33" s="14" t="n">
        <v>70</v>
      </c>
      <c r="K33" s="9" t="n">
        <f aca="false">SUM(E33:J33)</f>
        <v>413</v>
      </c>
      <c r="L33" s="15" t="n">
        <f aca="false">IFERROR((K33-K29)/K29,0)</f>
        <v>-0.109913793103448</v>
      </c>
      <c r="M33" s="16"/>
    </row>
    <row r="34" customFormat="false" ht="15" hidden="false" customHeight="false" outlineLevel="0" collapsed="false">
      <c r="A34" s="5" t="s">
        <v>15</v>
      </c>
      <c r="B34" s="12" t="s">
        <v>46</v>
      </c>
      <c r="C34" s="13" t="s">
        <v>21</v>
      </c>
      <c r="D34" s="13" t="s">
        <v>18</v>
      </c>
      <c r="E34" s="14" t="n">
        <v>86</v>
      </c>
      <c r="F34" s="14" t="n">
        <v>85</v>
      </c>
      <c r="G34" s="14" t="n">
        <v>78</v>
      </c>
      <c r="H34" s="14" t="n">
        <v>80</v>
      </c>
      <c r="I34" s="14" t="n">
        <v>90</v>
      </c>
      <c r="J34" s="14" t="n">
        <v>92</v>
      </c>
      <c r="K34" s="9" t="n">
        <f aca="false">SUM(E34:J34)</f>
        <v>511</v>
      </c>
      <c r="L34" s="15" t="n">
        <f aca="false">IFERROR((K34-K30)/K30,0)</f>
        <v>0.135555555555556</v>
      </c>
      <c r="M34" s="16"/>
    </row>
    <row r="35" customFormat="false" ht="15" hidden="false" customHeight="false" outlineLevel="0" collapsed="false">
      <c r="A35" s="5" t="s">
        <v>15</v>
      </c>
      <c r="B35" s="12" t="s">
        <v>46</v>
      </c>
      <c r="C35" s="13" t="s">
        <v>23</v>
      </c>
      <c r="D35" s="13" t="s">
        <v>24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2555</v>
      </c>
      <c r="J35" s="14" t="n">
        <v>0</v>
      </c>
      <c r="K35" s="9" t="n">
        <f aca="false">SUM(E35:J35)</f>
        <v>2555</v>
      </c>
      <c r="L35" s="15" t="n">
        <f aca="false">IFERROR((K35-K31)/K31,0)</f>
        <v>0.0636969192339717</v>
      </c>
      <c r="M35" s="11" t="s">
        <v>43</v>
      </c>
    </row>
    <row r="36" customFormat="false" ht="15" hidden="false" customHeight="false" outlineLevel="0" collapsed="false">
      <c r="A36" s="5" t="s">
        <v>15</v>
      </c>
      <c r="B36" s="12" t="s">
        <v>46</v>
      </c>
      <c r="C36" s="13" t="s">
        <v>26</v>
      </c>
      <c r="D36" s="13" t="s">
        <v>24</v>
      </c>
      <c r="E36" s="14" t="n">
        <v>0</v>
      </c>
      <c r="F36" s="14" t="n">
        <v>0</v>
      </c>
      <c r="G36" s="14" t="n">
        <v>0</v>
      </c>
      <c r="H36" s="14" t="n">
        <v>0</v>
      </c>
      <c r="I36" s="14" t="n">
        <v>0</v>
      </c>
      <c r="J36" s="14" t="n">
        <v>11507</v>
      </c>
      <c r="K36" s="9" t="n">
        <f aca="false">SUM(E36:J36)</f>
        <v>11507</v>
      </c>
      <c r="L36" s="15" t="n">
        <f aca="false">IFERROR((K36-K32)/K32,0)</f>
        <v>0.0127618377046295</v>
      </c>
      <c r="M36" s="11" t="s">
        <v>31</v>
      </c>
    </row>
    <row r="37" customFormat="false" ht="15" hidden="false" customHeight="false" outlineLevel="0" collapsed="false">
      <c r="A37" s="5" t="s">
        <v>15</v>
      </c>
      <c r="B37" s="6" t="s">
        <v>47</v>
      </c>
      <c r="C37" s="7" t="s">
        <v>17</v>
      </c>
      <c r="D37" s="7" t="s">
        <v>18</v>
      </c>
      <c r="E37" s="8" t="n">
        <v>78</v>
      </c>
      <c r="F37" s="8" t="n">
        <v>77</v>
      </c>
      <c r="G37" s="8" t="n">
        <v>71</v>
      </c>
      <c r="H37" s="8" t="n">
        <v>76</v>
      </c>
      <c r="I37" s="8" t="n">
        <v>70</v>
      </c>
      <c r="J37" s="8" t="n">
        <v>74</v>
      </c>
      <c r="K37" s="9" t="n">
        <f aca="false">SUM(E37:J37)</f>
        <v>446</v>
      </c>
      <c r="L37" s="10" t="n">
        <f aca="false">IFERROR((K37-K33)/K33,0)</f>
        <v>0.0799031476997579</v>
      </c>
      <c r="M37" s="17"/>
    </row>
    <row r="38" customFormat="false" ht="15" hidden="false" customHeight="false" outlineLevel="0" collapsed="false">
      <c r="A38" s="5" t="s">
        <v>15</v>
      </c>
      <c r="B38" s="6" t="s">
        <v>47</v>
      </c>
      <c r="C38" s="7" t="s">
        <v>21</v>
      </c>
      <c r="D38" s="7" t="s">
        <v>18</v>
      </c>
      <c r="E38" s="8" t="n">
        <v>58</v>
      </c>
      <c r="F38" s="8" t="n">
        <v>55</v>
      </c>
      <c r="G38" s="8" t="n">
        <v>52</v>
      </c>
      <c r="H38" s="8" t="n">
        <v>54</v>
      </c>
      <c r="I38" s="8" t="n">
        <v>58</v>
      </c>
      <c r="J38" s="8" t="n">
        <v>61</v>
      </c>
      <c r="K38" s="9" t="n">
        <f aca="false">SUM(E38:J38)</f>
        <v>338</v>
      </c>
      <c r="L38" s="10" t="n">
        <f aca="false">IFERROR((K38-K34)/K34,0)</f>
        <v>-0.338551859099804</v>
      </c>
      <c r="M38" s="11" t="s">
        <v>48</v>
      </c>
    </row>
    <row r="39" customFormat="false" ht="15" hidden="false" customHeight="false" outlineLevel="0" collapsed="false">
      <c r="A39" s="5" t="s">
        <v>15</v>
      </c>
      <c r="B39" s="6" t="s">
        <v>47</v>
      </c>
      <c r="C39" s="7" t="s">
        <v>23</v>
      </c>
      <c r="D39" s="7" t="s">
        <v>24</v>
      </c>
      <c r="E39" s="8" t="n">
        <v>0</v>
      </c>
      <c r="F39" s="8" t="n">
        <v>0</v>
      </c>
      <c r="G39" s="8" t="n">
        <v>0</v>
      </c>
      <c r="H39" s="8" t="n">
        <v>0</v>
      </c>
      <c r="I39" s="8" t="n">
        <v>2281</v>
      </c>
      <c r="J39" s="8" t="n">
        <v>0</v>
      </c>
      <c r="K39" s="9" t="n">
        <f aca="false">SUM(E39:J39)</f>
        <v>2281</v>
      </c>
      <c r="L39" s="10" t="n">
        <f aca="false">IFERROR((K39-K35)/K35,0)</f>
        <v>-0.107240704500978</v>
      </c>
      <c r="M39" s="11" t="s">
        <v>25</v>
      </c>
    </row>
    <row r="40" customFormat="false" ht="15" hidden="false" customHeight="false" outlineLevel="0" collapsed="false">
      <c r="A40" s="5" t="s">
        <v>15</v>
      </c>
      <c r="B40" s="6" t="s">
        <v>47</v>
      </c>
      <c r="C40" s="7" t="s">
        <v>26</v>
      </c>
      <c r="D40" s="7" t="s">
        <v>24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12476</v>
      </c>
      <c r="K40" s="9" t="n">
        <f aca="false">SUM(E40:J40)</f>
        <v>12476</v>
      </c>
      <c r="L40" s="10" t="n">
        <f aca="false">IFERROR((K40-K36)/K36,0)</f>
        <v>0.0842096115408013</v>
      </c>
      <c r="M40" s="11" t="s">
        <v>31</v>
      </c>
    </row>
    <row r="41" customFormat="false" ht="15" hidden="false" customHeight="false" outlineLevel="0" collapsed="false">
      <c r="A41" s="5" t="s">
        <v>15</v>
      </c>
      <c r="B41" s="12" t="s">
        <v>49</v>
      </c>
      <c r="C41" s="13" t="s">
        <v>17</v>
      </c>
      <c r="D41" s="13" t="s">
        <v>18</v>
      </c>
      <c r="E41" s="14" t="n">
        <v>81</v>
      </c>
      <c r="F41" s="14" t="n">
        <v>78</v>
      </c>
      <c r="G41" s="14" t="n">
        <v>79</v>
      </c>
      <c r="H41" s="14" t="n">
        <v>77</v>
      </c>
      <c r="I41" s="14" t="n">
        <v>79</v>
      </c>
      <c r="J41" s="14" t="n">
        <v>80</v>
      </c>
      <c r="K41" s="9" t="n">
        <f aca="false">SUM(E41:J41)</f>
        <v>474</v>
      </c>
      <c r="L41" s="15" t="n">
        <f aca="false">IFERROR((K41-K37)/K37,0)</f>
        <v>0.062780269058296</v>
      </c>
      <c r="M41" s="11" t="s">
        <v>29</v>
      </c>
    </row>
    <row r="42" customFormat="false" ht="15" hidden="false" customHeight="false" outlineLevel="0" collapsed="false">
      <c r="A42" s="5" t="s">
        <v>15</v>
      </c>
      <c r="B42" s="12" t="s">
        <v>49</v>
      </c>
      <c r="C42" s="13" t="s">
        <v>21</v>
      </c>
      <c r="D42" s="13" t="s">
        <v>18</v>
      </c>
      <c r="E42" s="14" t="n">
        <v>39</v>
      </c>
      <c r="F42" s="14" t="n">
        <v>38</v>
      </c>
      <c r="G42" s="14" t="n">
        <v>35</v>
      </c>
      <c r="H42" s="14" t="n">
        <v>40</v>
      </c>
      <c r="I42" s="14" t="n">
        <v>42</v>
      </c>
      <c r="J42" s="14" t="n">
        <v>42</v>
      </c>
      <c r="K42" s="9" t="n">
        <f aca="false">SUM(E42:J42)</f>
        <v>236</v>
      </c>
      <c r="L42" s="15" t="n">
        <f aca="false">IFERROR((K42-K38)/K38,0)</f>
        <v>-0.301775147928994</v>
      </c>
      <c r="M42" s="11" t="s">
        <v>48</v>
      </c>
    </row>
    <row r="43" customFormat="false" ht="15" hidden="false" customHeight="false" outlineLevel="0" collapsed="false">
      <c r="A43" s="5" t="s">
        <v>15</v>
      </c>
      <c r="B43" s="12" t="s">
        <v>49</v>
      </c>
      <c r="C43" s="13" t="s">
        <v>23</v>
      </c>
      <c r="D43" s="13" t="s">
        <v>24</v>
      </c>
      <c r="E43" s="14" t="n">
        <v>0</v>
      </c>
      <c r="F43" s="14" t="n">
        <v>0</v>
      </c>
      <c r="G43" s="14" t="n">
        <v>0</v>
      </c>
      <c r="H43" s="14" t="n">
        <v>0</v>
      </c>
      <c r="I43" s="14" t="n">
        <v>2412</v>
      </c>
      <c r="J43" s="14" t="n">
        <v>0</v>
      </c>
      <c r="K43" s="9" t="n">
        <f aca="false">SUM(E43:J43)</f>
        <v>2412</v>
      </c>
      <c r="L43" s="15" t="n">
        <f aca="false">IFERROR((K43-K39)/K39,0)</f>
        <v>0.0574309513371328</v>
      </c>
      <c r="M43" s="11" t="s">
        <v>43</v>
      </c>
    </row>
    <row r="44" customFormat="false" ht="15" hidden="false" customHeight="false" outlineLevel="0" collapsed="false">
      <c r="A44" s="5" t="s">
        <v>15</v>
      </c>
      <c r="B44" s="12" t="s">
        <v>49</v>
      </c>
      <c r="C44" s="13" t="s">
        <v>26</v>
      </c>
      <c r="D44" s="13" t="s">
        <v>24</v>
      </c>
      <c r="E44" s="14" t="n">
        <v>0</v>
      </c>
      <c r="F44" s="14" t="n">
        <v>0</v>
      </c>
      <c r="G44" s="14" t="n">
        <v>0</v>
      </c>
      <c r="H44" s="14" t="n">
        <v>0</v>
      </c>
      <c r="I44" s="14" t="n">
        <v>0</v>
      </c>
      <c r="J44" s="14" t="n">
        <v>13914</v>
      </c>
      <c r="K44" s="9" t="n">
        <f aca="false">SUM(E44:J44)</f>
        <v>13914</v>
      </c>
      <c r="L44" s="15" t="n">
        <f aca="false">IFERROR((K44-K40)/K40,0)</f>
        <v>0.115261301699263</v>
      </c>
      <c r="M44" s="11" t="s">
        <v>31</v>
      </c>
    </row>
    <row r="45" customFormat="false" ht="15" hidden="false" customHeight="false" outlineLevel="0" collapsed="false">
      <c r="A45" s="5" t="s">
        <v>15</v>
      </c>
      <c r="B45" s="6" t="s">
        <v>50</v>
      </c>
      <c r="C45" s="7" t="s">
        <v>17</v>
      </c>
      <c r="D45" s="7" t="s">
        <v>18</v>
      </c>
      <c r="E45" s="8" t="n">
        <v>84</v>
      </c>
      <c r="F45" s="8" t="n">
        <v>83</v>
      </c>
      <c r="G45" s="8" t="n">
        <v>80</v>
      </c>
      <c r="H45" s="8" t="n">
        <v>87</v>
      </c>
      <c r="I45" s="8" t="n">
        <v>78</v>
      </c>
      <c r="J45" s="8" t="n">
        <v>89</v>
      </c>
      <c r="K45" s="9" t="n">
        <f aca="false">SUM(E45:J45)</f>
        <v>501</v>
      </c>
      <c r="L45" s="10" t="n">
        <f aca="false">IFERROR((K45-K41)/K41,0)</f>
        <v>0.0569620253164557</v>
      </c>
      <c r="M45" s="11" t="s">
        <v>51</v>
      </c>
    </row>
    <row r="46" customFormat="false" ht="15" hidden="false" customHeight="false" outlineLevel="0" collapsed="false">
      <c r="A46" s="5" t="s">
        <v>15</v>
      </c>
      <c r="B46" s="6" t="s">
        <v>50</v>
      </c>
      <c r="C46" s="7" t="s">
        <v>21</v>
      </c>
      <c r="D46" s="7" t="s">
        <v>18</v>
      </c>
      <c r="E46" s="8" t="n">
        <v>53</v>
      </c>
      <c r="F46" s="8" t="n">
        <v>48</v>
      </c>
      <c r="G46" s="8" t="n">
        <v>47</v>
      </c>
      <c r="H46" s="8" t="n">
        <v>51</v>
      </c>
      <c r="I46" s="8" t="n">
        <v>56</v>
      </c>
      <c r="J46" s="8" t="n">
        <v>62</v>
      </c>
      <c r="K46" s="9" t="n">
        <f aca="false">SUM(E46:J46)</f>
        <v>317</v>
      </c>
      <c r="L46" s="10" t="n">
        <f aca="false">IFERROR((K46-K42)/K42,0)</f>
        <v>0.343220338983051</v>
      </c>
      <c r="M46" s="11" t="s">
        <v>22</v>
      </c>
    </row>
    <row r="47" customFormat="false" ht="15" hidden="false" customHeight="false" outlineLevel="0" collapsed="false">
      <c r="A47" s="5" t="s">
        <v>15</v>
      </c>
      <c r="B47" s="6" t="s">
        <v>50</v>
      </c>
      <c r="C47" s="7" t="s">
        <v>23</v>
      </c>
      <c r="D47" s="7" t="s">
        <v>24</v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2841</v>
      </c>
      <c r="J47" s="8" t="n">
        <v>0</v>
      </c>
      <c r="K47" s="9" t="n">
        <f aca="false">SUM(E47:J47)</f>
        <v>2841</v>
      </c>
      <c r="L47" s="10" t="n">
        <f aca="false">IFERROR((K47-K43)/K43,0)</f>
        <v>0.177860696517413</v>
      </c>
      <c r="M47" s="11" t="s">
        <v>38</v>
      </c>
    </row>
    <row r="48" customFormat="false" ht="15" hidden="false" customHeight="false" outlineLevel="0" collapsed="false">
      <c r="A48" s="5" t="s">
        <v>15</v>
      </c>
      <c r="B48" s="6" t="s">
        <v>50</v>
      </c>
      <c r="C48" s="7" t="s">
        <v>26</v>
      </c>
      <c r="D48" s="7" t="s">
        <v>24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13120</v>
      </c>
      <c r="K48" s="9" t="n">
        <f aca="false">SUM(E48:J48)</f>
        <v>13120</v>
      </c>
      <c r="L48" s="10" t="n">
        <f aca="false">IFERROR((K48-K44)/K44,0)</f>
        <v>-0.057064826793158</v>
      </c>
      <c r="M48" s="11" t="s">
        <v>31</v>
      </c>
    </row>
    <row r="49" customFormat="false" ht="15" hidden="false" customHeight="false" outlineLevel="0" collapsed="false">
      <c r="A49" s="5" t="s">
        <v>15</v>
      </c>
      <c r="B49" s="12" t="s">
        <v>52</v>
      </c>
      <c r="C49" s="13" t="s">
        <v>17</v>
      </c>
      <c r="D49" s="13" t="s">
        <v>18</v>
      </c>
      <c r="E49" s="14" t="n">
        <v>85</v>
      </c>
      <c r="F49" s="14" t="n">
        <v>86</v>
      </c>
      <c r="G49" s="14" t="n">
        <v>82</v>
      </c>
      <c r="H49" s="14" t="n">
        <v>82</v>
      </c>
      <c r="I49" s="14" t="n">
        <v>87</v>
      </c>
      <c r="J49" s="14" t="n">
        <v>91</v>
      </c>
      <c r="K49" s="9" t="n">
        <f aca="false">SUM(E49:J49)</f>
        <v>513</v>
      </c>
      <c r="L49" s="15" t="n">
        <f aca="false">IFERROR((K49-K45)/K45,0)</f>
        <v>0.0239520958083832</v>
      </c>
      <c r="M49" s="11" t="s">
        <v>53</v>
      </c>
    </row>
    <row r="50" customFormat="false" ht="15" hidden="false" customHeight="false" outlineLevel="0" collapsed="false">
      <c r="A50" s="5" t="s">
        <v>15</v>
      </c>
      <c r="B50" s="12" t="s">
        <v>52</v>
      </c>
      <c r="C50" s="13" t="s">
        <v>21</v>
      </c>
      <c r="D50" s="13" t="s">
        <v>18</v>
      </c>
      <c r="E50" s="14" t="n">
        <v>79</v>
      </c>
      <c r="F50" s="14" t="n">
        <v>79</v>
      </c>
      <c r="G50" s="14" t="n">
        <v>72</v>
      </c>
      <c r="H50" s="14" t="n">
        <v>74</v>
      </c>
      <c r="I50" s="14" t="n">
        <v>76</v>
      </c>
      <c r="J50" s="14" t="n">
        <v>84</v>
      </c>
      <c r="K50" s="9" t="n">
        <f aca="false">SUM(E50:J50)</f>
        <v>464</v>
      </c>
      <c r="L50" s="15" t="n">
        <f aca="false">IFERROR((K50-K46)/K46,0)</f>
        <v>0.463722397476341</v>
      </c>
      <c r="M50" s="16"/>
    </row>
    <row r="51" customFormat="false" ht="15" hidden="false" customHeight="false" outlineLevel="0" collapsed="false">
      <c r="A51" s="5" t="s">
        <v>15</v>
      </c>
      <c r="B51" s="12" t="s">
        <v>52</v>
      </c>
      <c r="C51" s="13" t="s">
        <v>23</v>
      </c>
      <c r="D51" s="13" t="s">
        <v>24</v>
      </c>
      <c r="E51" s="14" t="n">
        <v>0</v>
      </c>
      <c r="F51" s="14" t="n">
        <v>0</v>
      </c>
      <c r="G51" s="14" t="n">
        <v>0</v>
      </c>
      <c r="H51" s="14" t="n">
        <v>0</v>
      </c>
      <c r="I51" s="14" t="n">
        <v>2971</v>
      </c>
      <c r="J51" s="14" t="n">
        <v>0</v>
      </c>
      <c r="K51" s="9" t="n">
        <f aca="false">SUM(E51:J51)</f>
        <v>2971</v>
      </c>
      <c r="L51" s="15" t="n">
        <f aca="false">IFERROR((K51-K47)/K47,0)</f>
        <v>0.0457585357268567</v>
      </c>
      <c r="M51" s="11" t="s">
        <v>35</v>
      </c>
    </row>
    <row r="52" customFormat="false" ht="15" hidden="false" customHeight="false" outlineLevel="0" collapsed="false">
      <c r="A52" s="5" t="s">
        <v>15</v>
      </c>
      <c r="B52" s="12" t="s">
        <v>52</v>
      </c>
      <c r="C52" s="13" t="s">
        <v>26</v>
      </c>
      <c r="D52" s="13" t="s">
        <v>24</v>
      </c>
      <c r="E52" s="14" t="n">
        <v>0</v>
      </c>
      <c r="F52" s="14" t="n">
        <v>0</v>
      </c>
      <c r="G52" s="14" t="n">
        <v>0</v>
      </c>
      <c r="H52" s="14" t="n">
        <v>0</v>
      </c>
      <c r="I52" s="14" t="n">
        <v>0</v>
      </c>
      <c r="J52" s="14" t="n">
        <v>15141</v>
      </c>
      <c r="K52" s="9" t="n">
        <f aca="false">SUM(E52:J52)</f>
        <v>15141</v>
      </c>
      <c r="L52" s="15" t="n">
        <f aca="false">IFERROR((K52-K48)/K48,0)</f>
        <v>0.154039634146341</v>
      </c>
      <c r="M52" s="11" t="s">
        <v>54</v>
      </c>
    </row>
    <row r="53" customFormat="false" ht="15" hidden="false" customHeight="false" outlineLevel="0" collapsed="false">
      <c r="A53" s="18" t="s">
        <v>55</v>
      </c>
      <c r="B53" s="6" t="s">
        <v>16</v>
      </c>
      <c r="C53" s="7" t="s">
        <v>17</v>
      </c>
      <c r="D53" s="7" t="s">
        <v>18</v>
      </c>
      <c r="E53" s="8" t="n">
        <v>69</v>
      </c>
      <c r="F53" s="8" t="n">
        <v>67</v>
      </c>
      <c r="G53" s="8" t="n">
        <v>65</v>
      </c>
      <c r="H53" s="8" t="n">
        <v>67</v>
      </c>
      <c r="I53" s="8" t="n">
        <v>72</v>
      </c>
      <c r="J53" s="8" t="n">
        <v>17</v>
      </c>
      <c r="K53" s="9" t="n">
        <f aca="false">SUM(E53:J53)</f>
        <v>357</v>
      </c>
      <c r="L53" s="10" t="s">
        <v>19</v>
      </c>
      <c r="M53" s="11" t="s">
        <v>33</v>
      </c>
    </row>
    <row r="54" customFormat="false" ht="15" hidden="false" customHeight="false" outlineLevel="0" collapsed="false">
      <c r="A54" s="18" t="s">
        <v>55</v>
      </c>
      <c r="B54" s="6" t="s">
        <v>16</v>
      </c>
      <c r="C54" s="7" t="s">
        <v>21</v>
      </c>
      <c r="D54" s="7" t="s">
        <v>18</v>
      </c>
      <c r="E54" s="8" t="n">
        <v>42</v>
      </c>
      <c r="F54" s="8" t="n">
        <v>36</v>
      </c>
      <c r="G54" s="8" t="n">
        <v>44</v>
      </c>
      <c r="H54" s="8" t="n">
        <v>37</v>
      </c>
      <c r="I54" s="8" t="n">
        <v>44</v>
      </c>
      <c r="J54" s="8" t="n">
        <v>7</v>
      </c>
      <c r="K54" s="9" t="n">
        <f aca="false">SUM(E54:J54)</f>
        <v>210</v>
      </c>
      <c r="L54" s="10" t="s">
        <v>19</v>
      </c>
      <c r="M54" s="11" t="s">
        <v>22</v>
      </c>
    </row>
    <row r="55" customFormat="false" ht="15" hidden="false" customHeight="false" outlineLevel="0" collapsed="false">
      <c r="A55" s="18" t="s">
        <v>55</v>
      </c>
      <c r="B55" s="6" t="s">
        <v>16</v>
      </c>
      <c r="C55" s="7" t="s">
        <v>23</v>
      </c>
      <c r="D55" s="7" t="s">
        <v>24</v>
      </c>
      <c r="E55" s="8" t="n">
        <v>0</v>
      </c>
      <c r="F55" s="8" t="n">
        <v>0</v>
      </c>
      <c r="G55" s="8" t="n">
        <v>0</v>
      </c>
      <c r="H55" s="8" t="n">
        <v>0</v>
      </c>
      <c r="I55" s="8" t="n">
        <v>1861</v>
      </c>
      <c r="J55" s="8" t="n">
        <v>0</v>
      </c>
      <c r="K55" s="9" t="n">
        <f aca="false">SUM(E55:J55)</f>
        <v>1861</v>
      </c>
      <c r="L55" s="10" t="s">
        <v>19</v>
      </c>
      <c r="M55" s="11" t="s">
        <v>38</v>
      </c>
    </row>
    <row r="56" customFormat="false" ht="15" hidden="false" customHeight="false" outlineLevel="0" collapsed="false">
      <c r="A56" s="18" t="s">
        <v>55</v>
      </c>
      <c r="B56" s="6" t="s">
        <v>16</v>
      </c>
      <c r="C56" s="7" t="s">
        <v>26</v>
      </c>
      <c r="D56" s="7" t="s">
        <v>24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3172</v>
      </c>
      <c r="K56" s="9" t="n">
        <f aca="false">SUM(E56:J56)</f>
        <v>3172</v>
      </c>
      <c r="L56" s="10" t="s">
        <v>19</v>
      </c>
      <c r="M56" s="11" t="s">
        <v>39</v>
      </c>
    </row>
    <row r="57" customFormat="false" ht="15" hidden="false" customHeight="false" outlineLevel="0" collapsed="false">
      <c r="A57" s="18" t="s">
        <v>55</v>
      </c>
      <c r="B57" s="12" t="s">
        <v>28</v>
      </c>
      <c r="C57" s="13" t="s">
        <v>17</v>
      </c>
      <c r="D57" s="13" t="s">
        <v>18</v>
      </c>
      <c r="E57" s="14" t="n">
        <v>70</v>
      </c>
      <c r="F57" s="14" t="n">
        <v>69</v>
      </c>
      <c r="G57" s="14" t="n">
        <v>65</v>
      </c>
      <c r="H57" s="14" t="n">
        <v>67</v>
      </c>
      <c r="I57" s="14" t="n">
        <v>71</v>
      </c>
      <c r="J57" s="14" t="n">
        <v>29</v>
      </c>
      <c r="K57" s="9" t="n">
        <f aca="false">SUM(E57:J57)</f>
        <v>371</v>
      </c>
      <c r="L57" s="15" t="n">
        <f aca="false">IFERROR((K57-K53)/K53,0)</f>
        <v>0.0392156862745098</v>
      </c>
      <c r="M57" s="11" t="s">
        <v>20</v>
      </c>
    </row>
    <row r="58" customFormat="false" ht="15" hidden="false" customHeight="false" outlineLevel="0" collapsed="false">
      <c r="A58" s="18" t="s">
        <v>55</v>
      </c>
      <c r="B58" s="12" t="s">
        <v>28</v>
      </c>
      <c r="C58" s="13" t="s">
        <v>21</v>
      </c>
      <c r="D58" s="13" t="s">
        <v>18</v>
      </c>
      <c r="E58" s="14" t="n">
        <v>46</v>
      </c>
      <c r="F58" s="14" t="n">
        <v>40</v>
      </c>
      <c r="G58" s="14" t="n">
        <v>37</v>
      </c>
      <c r="H58" s="14" t="n">
        <v>42</v>
      </c>
      <c r="I58" s="14" t="n">
        <v>45</v>
      </c>
      <c r="J58" s="14" t="n">
        <v>13</v>
      </c>
      <c r="K58" s="9" t="n">
        <f aca="false">SUM(E58:J58)</f>
        <v>223</v>
      </c>
      <c r="L58" s="15" t="n">
        <f aca="false">IFERROR((K58-K54)/K54,0)</f>
        <v>0.0619047619047619</v>
      </c>
      <c r="M58" s="11" t="s">
        <v>48</v>
      </c>
    </row>
    <row r="59" customFormat="false" ht="15" hidden="false" customHeight="false" outlineLevel="0" collapsed="false">
      <c r="A59" s="18" t="s">
        <v>55</v>
      </c>
      <c r="B59" s="12" t="s">
        <v>28</v>
      </c>
      <c r="C59" s="13" t="s">
        <v>23</v>
      </c>
      <c r="D59" s="13" t="s">
        <v>24</v>
      </c>
      <c r="E59" s="14" t="n">
        <v>0</v>
      </c>
      <c r="F59" s="14" t="n">
        <v>0</v>
      </c>
      <c r="G59" s="14" t="n">
        <v>0</v>
      </c>
      <c r="H59" s="14" t="n">
        <v>0</v>
      </c>
      <c r="I59" s="14" t="n">
        <v>1932</v>
      </c>
      <c r="J59" s="14" t="n">
        <v>0</v>
      </c>
      <c r="K59" s="9" t="n">
        <f aca="false">SUM(E59:J59)</f>
        <v>1932</v>
      </c>
      <c r="L59" s="15" t="n">
        <f aca="false">IFERROR((K59-K55)/K55,0)</f>
        <v>0.0381515314347125</v>
      </c>
      <c r="M59" s="11" t="s">
        <v>56</v>
      </c>
    </row>
    <row r="60" customFormat="false" ht="15" hidden="false" customHeight="false" outlineLevel="0" collapsed="false">
      <c r="A60" s="18" t="s">
        <v>55</v>
      </c>
      <c r="B60" s="12" t="s">
        <v>28</v>
      </c>
      <c r="C60" s="13" t="s">
        <v>26</v>
      </c>
      <c r="D60" s="13" t="s">
        <v>24</v>
      </c>
      <c r="E60" s="14" t="n">
        <v>0</v>
      </c>
      <c r="F60" s="14" t="n">
        <v>0</v>
      </c>
      <c r="G60" s="14" t="n">
        <v>0</v>
      </c>
      <c r="H60" s="14" t="n">
        <v>0</v>
      </c>
      <c r="I60" s="14" t="n">
        <v>0</v>
      </c>
      <c r="J60" s="14" t="n">
        <v>3902</v>
      </c>
      <c r="K60" s="9" t="n">
        <f aca="false">SUM(E60:J60)</f>
        <v>3902</v>
      </c>
      <c r="L60" s="15" t="n">
        <f aca="false">IFERROR((K60-K56)/K56,0)</f>
        <v>0.230138713745271</v>
      </c>
      <c r="M60" s="11" t="s">
        <v>27</v>
      </c>
    </row>
    <row r="61" customFormat="false" ht="15" hidden="false" customHeight="false" outlineLevel="0" collapsed="false">
      <c r="A61" s="18" t="s">
        <v>55</v>
      </c>
      <c r="B61" s="6" t="s">
        <v>32</v>
      </c>
      <c r="C61" s="7" t="s">
        <v>17</v>
      </c>
      <c r="D61" s="7" t="s">
        <v>18</v>
      </c>
      <c r="E61" s="8" t="n">
        <v>76</v>
      </c>
      <c r="F61" s="8" t="n">
        <v>74</v>
      </c>
      <c r="G61" s="8" t="n">
        <v>69</v>
      </c>
      <c r="H61" s="8" t="n">
        <v>73</v>
      </c>
      <c r="I61" s="8" t="n">
        <v>67</v>
      </c>
      <c r="J61" s="8" t="n">
        <v>44</v>
      </c>
      <c r="K61" s="9" t="n">
        <f aca="false">SUM(E61:J61)</f>
        <v>403</v>
      </c>
      <c r="L61" s="10" t="n">
        <f aca="false">IFERROR((K61-K57)/K57,0)</f>
        <v>0.0862533692722372</v>
      </c>
      <c r="M61" s="11" t="s">
        <v>20</v>
      </c>
    </row>
    <row r="62" customFormat="false" ht="15" hidden="false" customHeight="false" outlineLevel="0" collapsed="false">
      <c r="A62" s="18" t="s">
        <v>55</v>
      </c>
      <c r="B62" s="6" t="s">
        <v>32</v>
      </c>
      <c r="C62" s="7" t="s">
        <v>21</v>
      </c>
      <c r="D62" s="7" t="s">
        <v>18</v>
      </c>
      <c r="E62" s="8" t="n">
        <v>49</v>
      </c>
      <c r="F62" s="8" t="n">
        <v>46</v>
      </c>
      <c r="G62" s="8" t="n">
        <v>44</v>
      </c>
      <c r="H62" s="8" t="n">
        <v>46</v>
      </c>
      <c r="I62" s="8" t="n">
        <v>47</v>
      </c>
      <c r="J62" s="8" t="n">
        <v>22</v>
      </c>
      <c r="K62" s="9" t="n">
        <f aca="false">SUM(E62:J62)</f>
        <v>254</v>
      </c>
      <c r="L62" s="10" t="n">
        <f aca="false">IFERROR((K62-K58)/K58,0)</f>
        <v>0.139013452914798</v>
      </c>
      <c r="M62" s="11" t="s">
        <v>45</v>
      </c>
    </row>
    <row r="63" customFormat="false" ht="15" hidden="false" customHeight="false" outlineLevel="0" collapsed="false">
      <c r="A63" s="18" t="s">
        <v>55</v>
      </c>
      <c r="B63" s="6" t="s">
        <v>32</v>
      </c>
      <c r="C63" s="7" t="s">
        <v>23</v>
      </c>
      <c r="D63" s="7" t="s">
        <v>24</v>
      </c>
      <c r="E63" s="8" t="n">
        <v>0</v>
      </c>
      <c r="F63" s="8" t="n">
        <v>0</v>
      </c>
      <c r="G63" s="8" t="n">
        <v>0</v>
      </c>
      <c r="H63" s="8" t="n">
        <v>0</v>
      </c>
      <c r="I63" s="8" t="n">
        <v>2330</v>
      </c>
      <c r="J63" s="8" t="n">
        <v>0</v>
      </c>
      <c r="K63" s="9" t="n">
        <f aca="false">SUM(E63:J63)</f>
        <v>2330</v>
      </c>
      <c r="L63" s="10" t="n">
        <f aca="false">IFERROR((K63-K59)/K59,0)</f>
        <v>0.206004140786749</v>
      </c>
      <c r="M63" s="11" t="s">
        <v>30</v>
      </c>
    </row>
    <row r="64" customFormat="false" ht="15" hidden="false" customHeight="false" outlineLevel="0" collapsed="false">
      <c r="A64" s="18" t="s">
        <v>55</v>
      </c>
      <c r="B64" s="6" t="s">
        <v>32</v>
      </c>
      <c r="C64" s="7" t="s">
        <v>26</v>
      </c>
      <c r="D64" s="7" t="s">
        <v>24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5711</v>
      </c>
      <c r="K64" s="9" t="n">
        <f aca="false">SUM(E64:J64)</f>
        <v>5711</v>
      </c>
      <c r="L64" s="10" t="n">
        <f aca="false">IFERROR((K64-K60)/K60,0)</f>
        <v>0.463608405945669</v>
      </c>
      <c r="M64" s="11" t="s">
        <v>57</v>
      </c>
    </row>
    <row r="65" customFormat="false" ht="15" hidden="false" customHeight="false" outlineLevel="0" collapsed="false">
      <c r="A65" s="18" t="s">
        <v>55</v>
      </c>
      <c r="B65" s="12" t="s">
        <v>37</v>
      </c>
      <c r="C65" s="13" t="s">
        <v>17</v>
      </c>
      <c r="D65" s="13" t="s">
        <v>18</v>
      </c>
      <c r="E65" s="14" t="n">
        <v>70</v>
      </c>
      <c r="F65" s="14" t="n">
        <v>71</v>
      </c>
      <c r="G65" s="14" t="n">
        <v>68</v>
      </c>
      <c r="H65" s="14" t="n">
        <v>67</v>
      </c>
      <c r="I65" s="14" t="n">
        <v>64</v>
      </c>
      <c r="J65" s="14" t="n">
        <v>54</v>
      </c>
      <c r="K65" s="9" t="n">
        <f aca="false">SUM(E65:J65)</f>
        <v>394</v>
      </c>
      <c r="L65" s="15" t="n">
        <f aca="false">IFERROR((K65-K61)/K61,0)</f>
        <v>-0.0223325062034739</v>
      </c>
      <c r="M65" s="11" t="s">
        <v>33</v>
      </c>
    </row>
    <row r="66" customFormat="false" ht="15" hidden="false" customHeight="false" outlineLevel="0" collapsed="false">
      <c r="A66" s="18" t="s">
        <v>55</v>
      </c>
      <c r="B66" s="12" t="s">
        <v>37</v>
      </c>
      <c r="C66" s="13" t="s">
        <v>21</v>
      </c>
      <c r="D66" s="13" t="s">
        <v>18</v>
      </c>
      <c r="E66" s="14" t="n">
        <v>47</v>
      </c>
      <c r="F66" s="14" t="n">
        <v>41</v>
      </c>
      <c r="G66" s="14" t="n">
        <v>42</v>
      </c>
      <c r="H66" s="14" t="n">
        <v>42</v>
      </c>
      <c r="I66" s="14" t="n">
        <v>44</v>
      </c>
      <c r="J66" s="14" t="n">
        <v>28</v>
      </c>
      <c r="K66" s="9" t="n">
        <f aca="false">SUM(E66:J66)</f>
        <v>244</v>
      </c>
      <c r="L66" s="15" t="n">
        <f aca="false">IFERROR((K66-K62)/K62,0)</f>
        <v>-0.0393700787401575</v>
      </c>
      <c r="M66" s="11" t="s">
        <v>22</v>
      </c>
    </row>
    <row r="67" customFormat="false" ht="15" hidden="false" customHeight="false" outlineLevel="0" collapsed="false">
      <c r="A67" s="18" t="s">
        <v>55</v>
      </c>
      <c r="B67" s="12" t="s">
        <v>37</v>
      </c>
      <c r="C67" s="13" t="s">
        <v>23</v>
      </c>
      <c r="D67" s="13" t="s">
        <v>24</v>
      </c>
      <c r="E67" s="14" t="n">
        <v>0</v>
      </c>
      <c r="F67" s="14" t="n">
        <v>0</v>
      </c>
      <c r="G67" s="14" t="n">
        <v>0</v>
      </c>
      <c r="H67" s="14" t="n">
        <v>0</v>
      </c>
      <c r="I67" s="14" t="n">
        <v>2034</v>
      </c>
      <c r="J67" s="14" t="n">
        <v>0</v>
      </c>
      <c r="K67" s="9" t="n">
        <f aca="false">SUM(E67:J67)</f>
        <v>2034</v>
      </c>
      <c r="L67" s="15" t="n">
        <f aca="false">IFERROR((K67-K63)/K63,0)</f>
        <v>-0.127038626609442</v>
      </c>
      <c r="M67" s="11" t="s">
        <v>38</v>
      </c>
    </row>
    <row r="68" customFormat="false" ht="15" hidden="false" customHeight="false" outlineLevel="0" collapsed="false">
      <c r="A68" s="18" t="s">
        <v>55</v>
      </c>
      <c r="B68" s="12" t="s">
        <v>37</v>
      </c>
      <c r="C68" s="13" t="s">
        <v>26</v>
      </c>
      <c r="D68" s="13" t="s">
        <v>24</v>
      </c>
      <c r="E68" s="14" t="n">
        <v>0</v>
      </c>
      <c r="F68" s="14" t="n">
        <v>0</v>
      </c>
      <c r="G68" s="14" t="n">
        <v>0</v>
      </c>
      <c r="H68" s="14" t="n">
        <v>0</v>
      </c>
      <c r="I68" s="14" t="n">
        <v>0</v>
      </c>
      <c r="J68" s="14" t="n">
        <v>7086</v>
      </c>
      <c r="K68" s="9" t="n">
        <f aca="false">SUM(E68:J68)</f>
        <v>7086</v>
      </c>
      <c r="L68" s="15" t="n">
        <f aca="false">IFERROR((K68-K64)/K64,0)</f>
        <v>0.240763438977412</v>
      </c>
      <c r="M68" s="11" t="s">
        <v>27</v>
      </c>
    </row>
    <row r="69" customFormat="false" ht="15" hidden="false" customHeight="false" outlineLevel="0" collapsed="false">
      <c r="A69" s="18" t="s">
        <v>55</v>
      </c>
      <c r="B69" s="6" t="s">
        <v>40</v>
      </c>
      <c r="C69" s="7" t="s">
        <v>17</v>
      </c>
      <c r="D69" s="7" t="s">
        <v>18</v>
      </c>
      <c r="E69" s="8" t="n">
        <v>69</v>
      </c>
      <c r="F69" s="8" t="n">
        <v>63</v>
      </c>
      <c r="G69" s="8" t="n">
        <v>65</v>
      </c>
      <c r="H69" s="8" t="n">
        <v>68</v>
      </c>
      <c r="I69" s="8" t="n">
        <v>65</v>
      </c>
      <c r="J69" s="8" t="n">
        <v>61</v>
      </c>
      <c r="K69" s="9" t="n">
        <f aca="false">SUM(E69:J69)</f>
        <v>391</v>
      </c>
      <c r="L69" s="10" t="n">
        <f aca="false">IFERROR((K69-K65)/K65,0)</f>
        <v>-0.00761421319796954</v>
      </c>
      <c r="M69" s="17"/>
    </row>
    <row r="70" customFormat="false" ht="15" hidden="false" customHeight="false" outlineLevel="0" collapsed="false">
      <c r="A70" s="18" t="s">
        <v>55</v>
      </c>
      <c r="B70" s="6" t="s">
        <v>40</v>
      </c>
      <c r="C70" s="7" t="s">
        <v>21</v>
      </c>
      <c r="D70" s="7" t="s">
        <v>18</v>
      </c>
      <c r="E70" s="8" t="n">
        <v>40</v>
      </c>
      <c r="F70" s="8" t="n">
        <v>38</v>
      </c>
      <c r="G70" s="8" t="n">
        <v>36</v>
      </c>
      <c r="H70" s="8" t="n">
        <v>41</v>
      </c>
      <c r="I70" s="8" t="n">
        <v>41</v>
      </c>
      <c r="J70" s="8" t="n">
        <v>33</v>
      </c>
      <c r="K70" s="9" t="n">
        <f aca="false">SUM(E70:J70)</f>
        <v>229</v>
      </c>
      <c r="L70" s="10" t="n">
        <f aca="false">IFERROR((K70-K66)/K66,0)</f>
        <v>-0.0614754098360656</v>
      </c>
      <c r="M70" s="11" t="s">
        <v>45</v>
      </c>
    </row>
    <row r="71" customFormat="false" ht="15" hidden="false" customHeight="false" outlineLevel="0" collapsed="false">
      <c r="A71" s="18" t="s">
        <v>55</v>
      </c>
      <c r="B71" s="6" t="s">
        <v>40</v>
      </c>
      <c r="C71" s="7" t="s">
        <v>23</v>
      </c>
      <c r="D71" s="7" t="s">
        <v>24</v>
      </c>
      <c r="E71" s="8" t="n">
        <v>0</v>
      </c>
      <c r="F71" s="8" t="n">
        <v>0</v>
      </c>
      <c r="G71" s="8" t="n">
        <v>0</v>
      </c>
      <c r="H71" s="8" t="n">
        <v>0</v>
      </c>
      <c r="I71" s="8" t="n">
        <v>1987</v>
      </c>
      <c r="J71" s="8" t="n">
        <v>0</v>
      </c>
      <c r="K71" s="9" t="n">
        <f aca="false">SUM(E71:J71)</f>
        <v>1987</v>
      </c>
      <c r="L71" s="10" t="n">
        <f aca="false">IFERROR((K71-K67)/K67,0)</f>
        <v>-0.0231071779744346</v>
      </c>
      <c r="M71" s="11" t="s">
        <v>38</v>
      </c>
    </row>
    <row r="72" customFormat="false" ht="15" hidden="false" customHeight="false" outlineLevel="0" collapsed="false">
      <c r="A72" s="18" t="s">
        <v>55</v>
      </c>
      <c r="B72" s="6" t="s">
        <v>40</v>
      </c>
      <c r="C72" s="7" t="s">
        <v>26</v>
      </c>
      <c r="D72" s="7" t="s">
        <v>24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8340</v>
      </c>
      <c r="K72" s="9" t="n">
        <f aca="false">SUM(E72:J72)</f>
        <v>8340</v>
      </c>
      <c r="L72" s="10" t="n">
        <f aca="false">IFERROR((K72-K68)/K68,0)</f>
        <v>0.17696867061812</v>
      </c>
      <c r="M72" s="11" t="s">
        <v>39</v>
      </c>
    </row>
    <row r="73" customFormat="false" ht="15" hidden="false" customHeight="false" outlineLevel="0" collapsed="false">
      <c r="A73" s="18" t="s">
        <v>55</v>
      </c>
      <c r="B73" s="12" t="s">
        <v>41</v>
      </c>
      <c r="C73" s="13" t="s">
        <v>17</v>
      </c>
      <c r="D73" s="13" t="s">
        <v>18</v>
      </c>
      <c r="E73" s="14" t="n">
        <v>71</v>
      </c>
      <c r="F73" s="14" t="n">
        <v>67</v>
      </c>
      <c r="G73" s="14" t="n">
        <v>63</v>
      </c>
      <c r="H73" s="14" t="n">
        <v>68</v>
      </c>
      <c r="I73" s="14" t="n">
        <v>66</v>
      </c>
      <c r="J73" s="14" t="n">
        <v>69</v>
      </c>
      <c r="K73" s="9" t="n">
        <f aca="false">SUM(E73:J73)</f>
        <v>404</v>
      </c>
      <c r="L73" s="15" t="n">
        <f aca="false">IFERROR((K73-K69)/K69,0)</f>
        <v>0.0332480818414322</v>
      </c>
      <c r="M73" s="11" t="s">
        <v>20</v>
      </c>
    </row>
    <row r="74" customFormat="false" ht="15" hidden="false" customHeight="false" outlineLevel="0" collapsed="false">
      <c r="A74" s="18" t="s">
        <v>55</v>
      </c>
      <c r="B74" s="12" t="s">
        <v>41</v>
      </c>
      <c r="C74" s="13" t="s">
        <v>21</v>
      </c>
      <c r="D74" s="13" t="s">
        <v>18</v>
      </c>
      <c r="E74" s="14" t="n">
        <v>35</v>
      </c>
      <c r="F74" s="14" t="n">
        <v>33</v>
      </c>
      <c r="G74" s="14" t="n">
        <v>32</v>
      </c>
      <c r="H74" s="14" t="n">
        <v>34</v>
      </c>
      <c r="I74" s="14" t="n">
        <v>36</v>
      </c>
      <c r="J74" s="14" t="n">
        <v>40</v>
      </c>
      <c r="K74" s="9" t="n">
        <f aca="false">SUM(E74:J74)</f>
        <v>210</v>
      </c>
      <c r="L74" s="15" t="n">
        <f aca="false">IFERROR((K74-K70)/K70,0)</f>
        <v>-0.0829694323144105</v>
      </c>
      <c r="M74" s="11" t="s">
        <v>34</v>
      </c>
    </row>
    <row r="75" customFormat="false" ht="15" hidden="false" customHeight="false" outlineLevel="0" collapsed="false">
      <c r="A75" s="18" t="s">
        <v>55</v>
      </c>
      <c r="B75" s="12" t="s">
        <v>41</v>
      </c>
      <c r="C75" s="13" t="s">
        <v>23</v>
      </c>
      <c r="D75" s="13" t="s">
        <v>24</v>
      </c>
      <c r="E75" s="14" t="n">
        <v>0</v>
      </c>
      <c r="F75" s="14" t="n">
        <v>0</v>
      </c>
      <c r="G75" s="14" t="n">
        <v>0</v>
      </c>
      <c r="H75" s="14" t="n">
        <v>0</v>
      </c>
      <c r="I75" s="14" t="n">
        <v>1914</v>
      </c>
      <c r="J75" s="14" t="n">
        <v>0</v>
      </c>
      <c r="K75" s="9" t="n">
        <f aca="false">SUM(E75:J75)</f>
        <v>1914</v>
      </c>
      <c r="L75" s="15" t="n">
        <f aca="false">IFERROR((K75-K71)/K71,0)</f>
        <v>-0.0367388022143936</v>
      </c>
      <c r="M75" s="11" t="s">
        <v>38</v>
      </c>
    </row>
    <row r="76" customFormat="false" ht="15" hidden="false" customHeight="false" outlineLevel="0" collapsed="false">
      <c r="A76" s="18" t="s">
        <v>55</v>
      </c>
      <c r="B76" s="12" t="s">
        <v>41</v>
      </c>
      <c r="C76" s="13" t="s">
        <v>26</v>
      </c>
      <c r="D76" s="13" t="s">
        <v>24</v>
      </c>
      <c r="E76" s="14" t="n">
        <v>0</v>
      </c>
      <c r="F76" s="14" t="n">
        <v>0</v>
      </c>
      <c r="G76" s="14" t="n">
        <v>0</v>
      </c>
      <c r="H76" s="14" t="n">
        <v>0</v>
      </c>
      <c r="I76" s="14" t="n">
        <v>0</v>
      </c>
      <c r="J76" s="14" t="n">
        <v>8618</v>
      </c>
      <c r="K76" s="9" t="n">
        <f aca="false">SUM(E76:J76)</f>
        <v>8618</v>
      </c>
      <c r="L76" s="15" t="n">
        <f aca="false">IFERROR((K76-K72)/K72,0)</f>
        <v>0.0333333333333333</v>
      </c>
      <c r="M76" s="11" t="s">
        <v>39</v>
      </c>
    </row>
    <row r="77" customFormat="false" ht="15" hidden="false" customHeight="false" outlineLevel="0" collapsed="false">
      <c r="A77" s="18" t="s">
        <v>55</v>
      </c>
      <c r="B77" s="6" t="s">
        <v>44</v>
      </c>
      <c r="C77" s="7" t="s">
        <v>17</v>
      </c>
      <c r="D77" s="7" t="s">
        <v>18</v>
      </c>
      <c r="E77" s="8" t="n">
        <v>75</v>
      </c>
      <c r="F77" s="8" t="n">
        <v>74</v>
      </c>
      <c r="G77" s="8" t="n">
        <v>68</v>
      </c>
      <c r="H77" s="8" t="n">
        <v>74</v>
      </c>
      <c r="I77" s="8" t="n">
        <v>70</v>
      </c>
      <c r="J77" s="8" t="n">
        <v>73</v>
      </c>
      <c r="K77" s="9" t="n">
        <f aca="false">SUM(E77:J77)</f>
        <v>434</v>
      </c>
      <c r="L77" s="10" t="n">
        <f aca="false">IFERROR((K77-K73)/K73,0)</f>
        <v>0.0742574257425743</v>
      </c>
      <c r="M77" s="11" t="s">
        <v>53</v>
      </c>
    </row>
    <row r="78" customFormat="false" ht="15" hidden="false" customHeight="false" outlineLevel="0" collapsed="false">
      <c r="A78" s="18" t="s">
        <v>55</v>
      </c>
      <c r="B78" s="6" t="s">
        <v>44</v>
      </c>
      <c r="C78" s="7" t="s">
        <v>21</v>
      </c>
      <c r="D78" s="7" t="s">
        <v>18</v>
      </c>
      <c r="E78" s="8" t="n">
        <v>70</v>
      </c>
      <c r="F78" s="8" t="n">
        <v>64</v>
      </c>
      <c r="G78" s="8" t="n">
        <v>62</v>
      </c>
      <c r="H78" s="8" t="n">
        <v>66</v>
      </c>
      <c r="I78" s="8" t="n">
        <v>71</v>
      </c>
      <c r="J78" s="8" t="n">
        <v>78</v>
      </c>
      <c r="K78" s="9" t="n">
        <f aca="false">SUM(E78:J78)</f>
        <v>411</v>
      </c>
      <c r="L78" s="10" t="n">
        <f aca="false">IFERROR((K78-K74)/K74,0)</f>
        <v>0.957142857142857</v>
      </c>
      <c r="M78" s="11" t="s">
        <v>42</v>
      </c>
    </row>
    <row r="79" customFormat="false" ht="15" hidden="false" customHeight="false" outlineLevel="0" collapsed="false">
      <c r="A79" s="18" t="s">
        <v>55</v>
      </c>
      <c r="B79" s="6" t="s">
        <v>44</v>
      </c>
      <c r="C79" s="7" t="s">
        <v>23</v>
      </c>
      <c r="D79" s="7" t="s">
        <v>24</v>
      </c>
      <c r="E79" s="8" t="n">
        <v>0</v>
      </c>
      <c r="F79" s="8" t="n">
        <v>0</v>
      </c>
      <c r="G79" s="8" t="n">
        <v>0</v>
      </c>
      <c r="H79" s="8" t="n">
        <v>0</v>
      </c>
      <c r="I79" s="8" t="n">
        <v>2121</v>
      </c>
      <c r="J79" s="8" t="n">
        <v>0</v>
      </c>
      <c r="K79" s="9" t="n">
        <f aca="false">SUM(E79:J79)</f>
        <v>2121</v>
      </c>
      <c r="L79" s="10" t="n">
        <f aca="false">IFERROR((K79-K75)/K75,0)</f>
        <v>0.108150470219436</v>
      </c>
      <c r="M79" s="11" t="s">
        <v>56</v>
      </c>
    </row>
    <row r="80" customFormat="false" ht="15" hidden="false" customHeight="false" outlineLevel="0" collapsed="false">
      <c r="A80" s="18" t="s">
        <v>55</v>
      </c>
      <c r="B80" s="6" t="s">
        <v>44</v>
      </c>
      <c r="C80" s="7" t="s">
        <v>26</v>
      </c>
      <c r="D80" s="7" t="s">
        <v>24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9904</v>
      </c>
      <c r="K80" s="9" t="n">
        <f aca="false">SUM(E80:J80)</f>
        <v>9904</v>
      </c>
      <c r="L80" s="10" t="n">
        <f aca="false">IFERROR((K80-K76)/K76,0)</f>
        <v>0.149222557437921</v>
      </c>
      <c r="M80" s="11" t="s">
        <v>36</v>
      </c>
    </row>
    <row r="81" customFormat="false" ht="15" hidden="false" customHeight="false" outlineLevel="0" collapsed="false">
      <c r="A81" s="18" t="s">
        <v>55</v>
      </c>
      <c r="B81" s="12" t="s">
        <v>46</v>
      </c>
      <c r="C81" s="13" t="s">
        <v>17</v>
      </c>
      <c r="D81" s="13" t="s">
        <v>18</v>
      </c>
      <c r="E81" s="14" t="n">
        <v>64</v>
      </c>
      <c r="F81" s="14" t="n">
        <v>63</v>
      </c>
      <c r="G81" s="14" t="n">
        <v>64</v>
      </c>
      <c r="H81" s="14" t="n">
        <v>65</v>
      </c>
      <c r="I81" s="14" t="n">
        <v>65</v>
      </c>
      <c r="J81" s="14" t="n">
        <v>68</v>
      </c>
      <c r="K81" s="9" t="n">
        <f aca="false">SUM(E81:J81)</f>
        <v>389</v>
      </c>
      <c r="L81" s="15" t="n">
        <f aca="false">IFERROR((K81-K77)/K77,0)</f>
        <v>-0.1036866359447</v>
      </c>
      <c r="M81" s="11" t="s">
        <v>51</v>
      </c>
    </row>
    <row r="82" customFormat="false" ht="15" hidden="false" customHeight="false" outlineLevel="0" collapsed="false">
      <c r="A82" s="18" t="s">
        <v>55</v>
      </c>
      <c r="B82" s="12" t="s">
        <v>46</v>
      </c>
      <c r="C82" s="13" t="s">
        <v>21</v>
      </c>
      <c r="D82" s="13" t="s">
        <v>18</v>
      </c>
      <c r="E82" s="14" t="n">
        <v>82</v>
      </c>
      <c r="F82" s="14" t="n">
        <v>75</v>
      </c>
      <c r="G82" s="14" t="n">
        <v>74</v>
      </c>
      <c r="H82" s="14" t="n">
        <v>74</v>
      </c>
      <c r="I82" s="14" t="n">
        <v>83</v>
      </c>
      <c r="J82" s="14" t="n">
        <v>80</v>
      </c>
      <c r="K82" s="9" t="n">
        <f aca="false">SUM(E82:J82)</f>
        <v>468</v>
      </c>
      <c r="L82" s="15" t="n">
        <f aca="false">IFERROR((K82-K78)/K78,0)</f>
        <v>0.138686131386861</v>
      </c>
      <c r="M82" s="16"/>
    </row>
    <row r="83" customFormat="false" ht="15" hidden="false" customHeight="false" outlineLevel="0" collapsed="false">
      <c r="A83" s="18" t="s">
        <v>55</v>
      </c>
      <c r="B83" s="12" t="s">
        <v>46</v>
      </c>
      <c r="C83" s="13" t="s">
        <v>23</v>
      </c>
      <c r="D83" s="13" t="s">
        <v>24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2347</v>
      </c>
      <c r="J83" s="14" t="n">
        <v>0</v>
      </c>
      <c r="K83" s="9" t="n">
        <f aca="false">SUM(E83:J83)</f>
        <v>2347</v>
      </c>
      <c r="L83" s="15" t="n">
        <f aca="false">IFERROR((K83-K79)/K79,0)</f>
        <v>0.106553512494107</v>
      </c>
      <c r="M83" s="11" t="s">
        <v>25</v>
      </c>
    </row>
    <row r="84" customFormat="false" ht="15" hidden="false" customHeight="false" outlineLevel="0" collapsed="false">
      <c r="A84" s="18" t="s">
        <v>55</v>
      </c>
      <c r="B84" s="12" t="s">
        <v>46</v>
      </c>
      <c r="C84" s="13" t="s">
        <v>26</v>
      </c>
      <c r="D84" s="13" t="s">
        <v>24</v>
      </c>
      <c r="E84" s="14" t="n">
        <v>0</v>
      </c>
      <c r="F84" s="14" t="n">
        <v>0</v>
      </c>
      <c r="G84" s="14" t="n">
        <v>0</v>
      </c>
      <c r="H84" s="14" t="n">
        <v>0</v>
      </c>
      <c r="I84" s="14" t="n">
        <v>0</v>
      </c>
      <c r="J84" s="14" t="n">
        <v>10555</v>
      </c>
      <c r="K84" s="9" t="n">
        <f aca="false">SUM(E84:J84)</f>
        <v>10555</v>
      </c>
      <c r="L84" s="15" t="n">
        <f aca="false">IFERROR((K84-K80)/K80,0)</f>
        <v>0.0657310177705977</v>
      </c>
      <c r="M84" s="11" t="s">
        <v>36</v>
      </c>
    </row>
    <row r="85" customFormat="false" ht="15" hidden="false" customHeight="false" outlineLevel="0" collapsed="false">
      <c r="A85" s="18" t="s">
        <v>55</v>
      </c>
      <c r="B85" s="6" t="s">
        <v>47</v>
      </c>
      <c r="C85" s="7" t="s">
        <v>17</v>
      </c>
      <c r="D85" s="7" t="s">
        <v>18</v>
      </c>
      <c r="E85" s="8" t="n">
        <v>67</v>
      </c>
      <c r="F85" s="8" t="n">
        <v>68</v>
      </c>
      <c r="G85" s="8" t="n">
        <v>67</v>
      </c>
      <c r="H85" s="8" t="n">
        <v>65</v>
      </c>
      <c r="I85" s="8" t="n">
        <v>68</v>
      </c>
      <c r="J85" s="8" t="n">
        <v>73</v>
      </c>
      <c r="K85" s="9" t="n">
        <f aca="false">SUM(E85:J85)</f>
        <v>408</v>
      </c>
      <c r="L85" s="10" t="n">
        <f aca="false">IFERROR((K85-K81)/K81,0)</f>
        <v>0.0488431876606684</v>
      </c>
      <c r="M85" s="17"/>
    </row>
    <row r="86" customFormat="false" ht="15" hidden="false" customHeight="false" outlineLevel="0" collapsed="false">
      <c r="A86" s="18" t="s">
        <v>55</v>
      </c>
      <c r="B86" s="6" t="s">
        <v>47</v>
      </c>
      <c r="C86" s="7" t="s">
        <v>21</v>
      </c>
      <c r="D86" s="7" t="s">
        <v>18</v>
      </c>
      <c r="E86" s="8" t="n">
        <v>54</v>
      </c>
      <c r="F86" s="8" t="n">
        <v>53</v>
      </c>
      <c r="G86" s="8" t="n">
        <v>47</v>
      </c>
      <c r="H86" s="8" t="n">
        <v>54</v>
      </c>
      <c r="I86" s="8" t="n">
        <v>53</v>
      </c>
      <c r="J86" s="8" t="n">
        <v>59</v>
      </c>
      <c r="K86" s="9" t="n">
        <f aca="false">SUM(E86:J86)</f>
        <v>320</v>
      </c>
      <c r="L86" s="10" t="n">
        <f aca="false">IFERROR((K86-K82)/K82,0)</f>
        <v>-0.316239316239316</v>
      </c>
      <c r="M86" s="11" t="s">
        <v>22</v>
      </c>
    </row>
    <row r="87" customFormat="false" ht="15" hidden="false" customHeight="false" outlineLevel="0" collapsed="false">
      <c r="A87" s="18" t="s">
        <v>55</v>
      </c>
      <c r="B87" s="6" t="s">
        <v>47</v>
      </c>
      <c r="C87" s="7" t="s">
        <v>23</v>
      </c>
      <c r="D87" s="7" t="s">
        <v>24</v>
      </c>
      <c r="E87" s="8" t="n">
        <v>0</v>
      </c>
      <c r="F87" s="8" t="n">
        <v>0</v>
      </c>
      <c r="G87" s="8" t="n">
        <v>0</v>
      </c>
      <c r="H87" s="8" t="n">
        <v>0</v>
      </c>
      <c r="I87" s="8" t="n">
        <v>2136</v>
      </c>
      <c r="J87" s="8" t="n">
        <v>0</v>
      </c>
      <c r="K87" s="9" t="n">
        <f aca="false">SUM(E87:J87)</f>
        <v>2136</v>
      </c>
      <c r="L87" s="10" t="n">
        <f aca="false">IFERROR((K87-K83)/K83,0)</f>
        <v>-0.089902002556455</v>
      </c>
      <c r="M87" s="11" t="s">
        <v>56</v>
      </c>
    </row>
    <row r="88" customFormat="false" ht="15" hidden="false" customHeight="false" outlineLevel="0" collapsed="false">
      <c r="A88" s="18" t="s">
        <v>55</v>
      </c>
      <c r="B88" s="6" t="s">
        <v>47</v>
      </c>
      <c r="C88" s="7" t="s">
        <v>26</v>
      </c>
      <c r="D88" s="7" t="s">
        <v>24</v>
      </c>
      <c r="E88" s="8" t="n">
        <v>0</v>
      </c>
      <c r="F88" s="8" t="n">
        <v>0</v>
      </c>
      <c r="G88" s="8" t="n">
        <v>0</v>
      </c>
      <c r="H88" s="8" t="n">
        <v>0</v>
      </c>
      <c r="I88" s="8" t="n">
        <v>0</v>
      </c>
      <c r="J88" s="8" t="n">
        <v>12172</v>
      </c>
      <c r="K88" s="9" t="n">
        <f aca="false">SUM(E88:J88)</f>
        <v>12172</v>
      </c>
      <c r="L88" s="10" t="n">
        <f aca="false">IFERROR((K88-K84)/K84,0)</f>
        <v>0.153197536712459</v>
      </c>
      <c r="M88" s="11" t="s">
        <v>27</v>
      </c>
    </row>
    <row r="89" customFormat="false" ht="15" hidden="false" customHeight="false" outlineLevel="0" collapsed="false">
      <c r="A89" s="18" t="s">
        <v>55</v>
      </c>
      <c r="B89" s="12" t="s">
        <v>49</v>
      </c>
      <c r="C89" s="13" t="s">
        <v>17</v>
      </c>
      <c r="D89" s="13" t="s">
        <v>18</v>
      </c>
      <c r="E89" s="14" t="n">
        <v>74</v>
      </c>
      <c r="F89" s="14" t="n">
        <v>71</v>
      </c>
      <c r="G89" s="14" t="n">
        <v>72</v>
      </c>
      <c r="H89" s="14" t="n">
        <v>75</v>
      </c>
      <c r="I89" s="14" t="n">
        <v>68</v>
      </c>
      <c r="J89" s="14" t="n">
        <v>79</v>
      </c>
      <c r="K89" s="9" t="n">
        <f aca="false">SUM(E89:J89)</f>
        <v>439</v>
      </c>
      <c r="L89" s="15" t="n">
        <f aca="false">IFERROR((K89-K85)/K85,0)</f>
        <v>0.0759803921568627</v>
      </c>
      <c r="M89" s="11" t="s">
        <v>33</v>
      </c>
    </row>
    <row r="90" customFormat="false" ht="15" hidden="false" customHeight="false" outlineLevel="0" collapsed="false">
      <c r="A90" s="18" t="s">
        <v>55</v>
      </c>
      <c r="B90" s="12" t="s">
        <v>49</v>
      </c>
      <c r="C90" s="13" t="s">
        <v>21</v>
      </c>
      <c r="D90" s="13" t="s">
        <v>18</v>
      </c>
      <c r="E90" s="14" t="n">
        <v>38</v>
      </c>
      <c r="F90" s="14" t="n">
        <v>34</v>
      </c>
      <c r="G90" s="14" t="n">
        <v>31</v>
      </c>
      <c r="H90" s="14" t="n">
        <v>34</v>
      </c>
      <c r="I90" s="14" t="n">
        <v>37</v>
      </c>
      <c r="J90" s="14" t="n">
        <v>41</v>
      </c>
      <c r="K90" s="9" t="n">
        <f aca="false">SUM(E90:J90)</f>
        <v>215</v>
      </c>
      <c r="L90" s="15" t="n">
        <f aca="false">IFERROR((K90-K86)/K86,0)</f>
        <v>-0.328125</v>
      </c>
      <c r="M90" s="11" t="s">
        <v>48</v>
      </c>
    </row>
    <row r="91" customFormat="false" ht="15" hidden="false" customHeight="false" outlineLevel="0" collapsed="false">
      <c r="A91" s="18" t="s">
        <v>55</v>
      </c>
      <c r="B91" s="12" t="s">
        <v>49</v>
      </c>
      <c r="C91" s="13" t="s">
        <v>23</v>
      </c>
      <c r="D91" s="13" t="s">
        <v>24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2325</v>
      </c>
      <c r="J91" s="14" t="n">
        <v>0</v>
      </c>
      <c r="K91" s="9" t="n">
        <f aca="false">SUM(E91:J91)</f>
        <v>2325</v>
      </c>
      <c r="L91" s="15" t="n">
        <f aca="false">IFERROR((K91-K87)/K87,0)</f>
        <v>0.0884831460674157</v>
      </c>
      <c r="M91" s="11" t="s">
        <v>25</v>
      </c>
    </row>
    <row r="92" customFormat="false" ht="15" hidden="false" customHeight="false" outlineLevel="0" collapsed="false">
      <c r="A92" s="18" t="s">
        <v>55</v>
      </c>
      <c r="B92" s="12" t="s">
        <v>49</v>
      </c>
      <c r="C92" s="13" t="s">
        <v>26</v>
      </c>
      <c r="D92" s="13" t="s">
        <v>24</v>
      </c>
      <c r="E92" s="14" t="n">
        <v>0</v>
      </c>
      <c r="F92" s="14" t="n">
        <v>0</v>
      </c>
      <c r="G92" s="14" t="n">
        <v>0</v>
      </c>
      <c r="H92" s="14" t="n">
        <v>0</v>
      </c>
      <c r="I92" s="14" t="n">
        <v>0</v>
      </c>
      <c r="J92" s="14" t="n">
        <v>12799</v>
      </c>
      <c r="K92" s="9" t="n">
        <f aca="false">SUM(E92:J92)</f>
        <v>12799</v>
      </c>
      <c r="L92" s="15" t="n">
        <f aca="false">IFERROR((K92-K88)/K88,0)</f>
        <v>0.0515116661189616</v>
      </c>
      <c r="M92" s="11" t="s">
        <v>39</v>
      </c>
    </row>
    <row r="93" customFormat="false" ht="15" hidden="false" customHeight="false" outlineLevel="0" collapsed="false">
      <c r="A93" s="18" t="s">
        <v>55</v>
      </c>
      <c r="B93" s="6" t="s">
        <v>50</v>
      </c>
      <c r="C93" s="7" t="s">
        <v>17</v>
      </c>
      <c r="D93" s="7" t="s">
        <v>18</v>
      </c>
      <c r="E93" s="8" t="n">
        <v>76</v>
      </c>
      <c r="F93" s="8" t="n">
        <v>75</v>
      </c>
      <c r="G93" s="8" t="n">
        <v>72</v>
      </c>
      <c r="H93" s="8" t="n">
        <v>76</v>
      </c>
      <c r="I93" s="8" t="n">
        <v>73</v>
      </c>
      <c r="J93" s="8" t="n">
        <v>77</v>
      </c>
      <c r="K93" s="9" t="n">
        <f aca="false">SUM(E93:J93)</f>
        <v>449</v>
      </c>
      <c r="L93" s="10" t="n">
        <f aca="false">IFERROR((K93-K89)/K89,0)</f>
        <v>0.0227790432801822</v>
      </c>
      <c r="M93" s="11" t="s">
        <v>51</v>
      </c>
    </row>
    <row r="94" customFormat="false" ht="15" hidden="false" customHeight="false" outlineLevel="0" collapsed="false">
      <c r="A94" s="18" t="s">
        <v>55</v>
      </c>
      <c r="B94" s="6" t="s">
        <v>50</v>
      </c>
      <c r="C94" s="7" t="s">
        <v>21</v>
      </c>
      <c r="D94" s="7" t="s">
        <v>18</v>
      </c>
      <c r="E94" s="8" t="n">
        <v>53</v>
      </c>
      <c r="F94" s="8" t="n">
        <v>47</v>
      </c>
      <c r="G94" s="8" t="n">
        <v>42</v>
      </c>
      <c r="H94" s="8" t="n">
        <v>45</v>
      </c>
      <c r="I94" s="8" t="n">
        <v>53</v>
      </c>
      <c r="J94" s="8" t="n">
        <v>54</v>
      </c>
      <c r="K94" s="9" t="n">
        <f aca="false">SUM(E94:J94)</f>
        <v>294</v>
      </c>
      <c r="L94" s="10" t="n">
        <f aca="false">IFERROR((K94-K90)/K90,0)</f>
        <v>0.367441860465116</v>
      </c>
      <c r="M94" s="11" t="s">
        <v>42</v>
      </c>
    </row>
    <row r="95" customFormat="false" ht="15" hidden="false" customHeight="false" outlineLevel="0" collapsed="false">
      <c r="A95" s="18" t="s">
        <v>55</v>
      </c>
      <c r="B95" s="6" t="s">
        <v>50</v>
      </c>
      <c r="C95" s="7" t="s">
        <v>23</v>
      </c>
      <c r="D95" s="7" t="s">
        <v>24</v>
      </c>
      <c r="E95" s="8" t="n">
        <v>0</v>
      </c>
      <c r="F95" s="8" t="n">
        <v>0</v>
      </c>
      <c r="G95" s="8" t="n">
        <v>0</v>
      </c>
      <c r="H95" s="8" t="n">
        <v>0</v>
      </c>
      <c r="I95" s="8" t="n">
        <v>2565</v>
      </c>
      <c r="J95" s="8" t="n">
        <v>0</v>
      </c>
      <c r="K95" s="9" t="n">
        <f aca="false">SUM(E95:J95)</f>
        <v>2565</v>
      </c>
      <c r="L95" s="10" t="n">
        <f aca="false">IFERROR((K95-K91)/K91,0)</f>
        <v>0.103225806451613</v>
      </c>
      <c r="M95" s="11" t="s">
        <v>43</v>
      </c>
    </row>
    <row r="96" customFormat="false" ht="15" hidden="false" customHeight="false" outlineLevel="0" collapsed="false">
      <c r="A96" s="18" t="s">
        <v>55</v>
      </c>
      <c r="B96" s="6" t="s">
        <v>50</v>
      </c>
      <c r="C96" s="7" t="s">
        <v>26</v>
      </c>
      <c r="D96" s="7" t="s">
        <v>24</v>
      </c>
      <c r="E96" s="8" t="n">
        <v>0</v>
      </c>
      <c r="F96" s="8" t="n">
        <v>0</v>
      </c>
      <c r="G96" s="8" t="n">
        <v>0</v>
      </c>
      <c r="H96" s="8" t="n">
        <v>0</v>
      </c>
      <c r="I96" s="8" t="n">
        <v>0</v>
      </c>
      <c r="J96" s="8" t="n">
        <v>12332</v>
      </c>
      <c r="K96" s="9" t="n">
        <f aca="false">SUM(E96:J96)</f>
        <v>12332</v>
      </c>
      <c r="L96" s="10" t="n">
        <f aca="false">IFERROR((K96-K92)/K92,0)</f>
        <v>-0.0364872255644972</v>
      </c>
      <c r="M96" s="11" t="s">
        <v>57</v>
      </c>
    </row>
    <row r="97" customFormat="false" ht="15" hidden="false" customHeight="false" outlineLevel="0" collapsed="false">
      <c r="A97" s="18" t="s">
        <v>55</v>
      </c>
      <c r="B97" s="12" t="s">
        <v>52</v>
      </c>
      <c r="C97" s="13" t="s">
        <v>17</v>
      </c>
      <c r="D97" s="13" t="s">
        <v>18</v>
      </c>
      <c r="E97" s="14" t="n">
        <v>78</v>
      </c>
      <c r="F97" s="14" t="n">
        <v>81</v>
      </c>
      <c r="G97" s="14" t="n">
        <v>76</v>
      </c>
      <c r="H97" s="14" t="n">
        <v>77</v>
      </c>
      <c r="I97" s="14" t="n">
        <v>76</v>
      </c>
      <c r="J97" s="14" t="n">
        <v>80</v>
      </c>
      <c r="K97" s="9" t="n">
        <f aca="false">SUM(E97:J97)</f>
        <v>468</v>
      </c>
      <c r="L97" s="15" t="n">
        <f aca="false">IFERROR((K97-K93)/K93,0)</f>
        <v>0.0423162583518931</v>
      </c>
      <c r="M97" s="11" t="s">
        <v>53</v>
      </c>
    </row>
    <row r="98" customFormat="false" ht="15" hidden="false" customHeight="false" outlineLevel="0" collapsed="false">
      <c r="A98" s="18" t="s">
        <v>55</v>
      </c>
      <c r="B98" s="12" t="s">
        <v>52</v>
      </c>
      <c r="C98" s="13" t="s">
        <v>21</v>
      </c>
      <c r="D98" s="13" t="s">
        <v>18</v>
      </c>
      <c r="E98" s="14" t="n">
        <v>70</v>
      </c>
      <c r="F98" s="14" t="n">
        <v>68</v>
      </c>
      <c r="G98" s="14" t="n">
        <v>63</v>
      </c>
      <c r="H98" s="14" t="n">
        <v>71</v>
      </c>
      <c r="I98" s="14" t="n">
        <v>75</v>
      </c>
      <c r="J98" s="14" t="n">
        <v>77</v>
      </c>
      <c r="K98" s="9" t="n">
        <f aca="false">SUM(E98:J98)</f>
        <v>424</v>
      </c>
      <c r="L98" s="15" t="n">
        <f aca="false">IFERROR((K98-K94)/K94,0)</f>
        <v>0.442176870748299</v>
      </c>
      <c r="M98" s="11" t="s">
        <v>22</v>
      </c>
    </row>
    <row r="99" customFormat="false" ht="15" hidden="false" customHeight="false" outlineLevel="0" collapsed="false">
      <c r="A99" s="18" t="s">
        <v>55</v>
      </c>
      <c r="B99" s="12" t="s">
        <v>52</v>
      </c>
      <c r="C99" s="13" t="s">
        <v>23</v>
      </c>
      <c r="D99" s="13" t="s">
        <v>24</v>
      </c>
      <c r="E99" s="14" t="n">
        <v>0</v>
      </c>
      <c r="F99" s="14" t="n">
        <v>0</v>
      </c>
      <c r="G99" s="14" t="n">
        <v>0</v>
      </c>
      <c r="H99" s="14" t="n">
        <v>0</v>
      </c>
      <c r="I99" s="14" t="n">
        <v>2685</v>
      </c>
      <c r="J99" s="14" t="n">
        <v>0</v>
      </c>
      <c r="K99" s="9" t="n">
        <f aca="false">SUM(E99:J99)</f>
        <v>2685</v>
      </c>
      <c r="L99" s="15" t="n">
        <f aca="false">IFERROR((K99-K95)/K95,0)</f>
        <v>0.0467836257309942</v>
      </c>
      <c r="M99" s="11" t="s">
        <v>25</v>
      </c>
    </row>
    <row r="100" customFormat="false" ht="15" hidden="false" customHeight="false" outlineLevel="0" collapsed="false">
      <c r="A100" s="18" t="s">
        <v>55</v>
      </c>
      <c r="B100" s="12" t="s">
        <v>52</v>
      </c>
      <c r="C100" s="13" t="s">
        <v>26</v>
      </c>
      <c r="D100" s="13" t="s">
        <v>24</v>
      </c>
      <c r="E100" s="14" t="n">
        <v>0</v>
      </c>
      <c r="F100" s="14" t="n">
        <v>0</v>
      </c>
      <c r="G100" s="14" t="n">
        <v>0</v>
      </c>
      <c r="H100" s="14" t="n">
        <v>0</v>
      </c>
      <c r="I100" s="14" t="n">
        <v>0</v>
      </c>
      <c r="J100" s="14" t="n">
        <v>12909</v>
      </c>
      <c r="K100" s="9" t="n">
        <f aca="false">SUM(E100:J100)</f>
        <v>12909</v>
      </c>
      <c r="L100" s="15" t="n">
        <f aca="false">IFERROR((K100-K96)/K96,0)</f>
        <v>0.046788842036977</v>
      </c>
      <c r="M100" s="11" t="s">
        <v>27</v>
      </c>
    </row>
    <row r="101" customFormat="false" ht="15" hidden="false" customHeight="false" outlineLevel="0" collapsed="false">
      <c r="A101" s="19" t="s">
        <v>58</v>
      </c>
      <c r="B101" s="6" t="s">
        <v>16</v>
      </c>
      <c r="C101" s="7" t="s">
        <v>17</v>
      </c>
      <c r="D101" s="7" t="s">
        <v>18</v>
      </c>
      <c r="E101" s="8" t="n">
        <v>78</v>
      </c>
      <c r="F101" s="8" t="n">
        <v>84</v>
      </c>
      <c r="G101" s="8" t="n">
        <v>72</v>
      </c>
      <c r="H101" s="8" t="n">
        <v>83</v>
      </c>
      <c r="I101" s="8" t="n">
        <v>81</v>
      </c>
      <c r="J101" s="8" t="n">
        <v>20</v>
      </c>
      <c r="K101" s="9" t="n">
        <f aca="false">SUM(E101:J101)</f>
        <v>418</v>
      </c>
      <c r="L101" s="10" t="s">
        <v>19</v>
      </c>
      <c r="M101" s="11" t="s">
        <v>20</v>
      </c>
    </row>
    <row r="102" customFormat="false" ht="15" hidden="false" customHeight="false" outlineLevel="0" collapsed="false">
      <c r="A102" s="19" t="s">
        <v>58</v>
      </c>
      <c r="B102" s="6" t="s">
        <v>16</v>
      </c>
      <c r="C102" s="7" t="s">
        <v>21</v>
      </c>
      <c r="D102" s="7" t="s">
        <v>18</v>
      </c>
      <c r="E102" s="8" t="n">
        <v>46</v>
      </c>
      <c r="F102" s="8" t="n">
        <v>43</v>
      </c>
      <c r="G102" s="8" t="n">
        <v>50</v>
      </c>
      <c r="H102" s="8" t="n">
        <v>47</v>
      </c>
      <c r="I102" s="8" t="n">
        <v>48</v>
      </c>
      <c r="J102" s="8" t="n">
        <v>8</v>
      </c>
      <c r="K102" s="9" t="n">
        <f aca="false">SUM(E102:J102)</f>
        <v>242</v>
      </c>
      <c r="L102" s="10" t="s">
        <v>19</v>
      </c>
      <c r="M102" s="17"/>
    </row>
    <row r="103" customFormat="false" ht="15" hidden="false" customHeight="false" outlineLevel="0" collapsed="false">
      <c r="A103" s="19" t="s">
        <v>58</v>
      </c>
      <c r="B103" s="6" t="s">
        <v>16</v>
      </c>
      <c r="C103" s="7" t="s">
        <v>23</v>
      </c>
      <c r="D103" s="7" t="s">
        <v>24</v>
      </c>
      <c r="E103" s="8" t="n">
        <v>0</v>
      </c>
      <c r="F103" s="8" t="n">
        <v>0</v>
      </c>
      <c r="G103" s="8" t="n">
        <v>0</v>
      </c>
      <c r="H103" s="8" t="n">
        <v>0</v>
      </c>
      <c r="I103" s="8" t="n">
        <v>2012</v>
      </c>
      <c r="J103" s="8" t="n">
        <v>0</v>
      </c>
      <c r="K103" s="9" t="n">
        <f aca="false">SUM(E103:J103)</f>
        <v>2012</v>
      </c>
      <c r="L103" s="10" t="s">
        <v>19</v>
      </c>
      <c r="M103" s="11" t="s">
        <v>56</v>
      </c>
    </row>
    <row r="104" customFormat="false" ht="15" hidden="false" customHeight="false" outlineLevel="0" collapsed="false">
      <c r="A104" s="19" t="s">
        <v>58</v>
      </c>
      <c r="B104" s="6" t="s">
        <v>16</v>
      </c>
      <c r="C104" s="7" t="s">
        <v>26</v>
      </c>
      <c r="D104" s="7" t="s">
        <v>24</v>
      </c>
      <c r="E104" s="8" t="n">
        <v>0</v>
      </c>
      <c r="F104" s="8" t="n">
        <v>0</v>
      </c>
      <c r="G104" s="8" t="n">
        <v>0</v>
      </c>
      <c r="H104" s="8" t="n">
        <v>0</v>
      </c>
      <c r="I104" s="8" t="n">
        <v>0</v>
      </c>
      <c r="J104" s="8" t="n">
        <v>3707</v>
      </c>
      <c r="K104" s="9" t="n">
        <f aca="false">SUM(E104:J104)</f>
        <v>3707</v>
      </c>
      <c r="L104" s="10" t="s">
        <v>19</v>
      </c>
      <c r="M104" s="11" t="s">
        <v>57</v>
      </c>
    </row>
    <row r="105" customFormat="false" ht="15" hidden="false" customHeight="false" outlineLevel="0" collapsed="false">
      <c r="A105" s="19" t="s">
        <v>58</v>
      </c>
      <c r="B105" s="12" t="s">
        <v>28</v>
      </c>
      <c r="C105" s="13" t="s">
        <v>17</v>
      </c>
      <c r="D105" s="13" t="s">
        <v>18</v>
      </c>
      <c r="E105" s="14" t="n">
        <v>79</v>
      </c>
      <c r="F105" s="14" t="n">
        <v>79</v>
      </c>
      <c r="G105" s="14" t="n">
        <v>77</v>
      </c>
      <c r="H105" s="14" t="n">
        <v>82</v>
      </c>
      <c r="I105" s="14" t="n">
        <v>83</v>
      </c>
      <c r="J105" s="14" t="n">
        <v>36</v>
      </c>
      <c r="K105" s="9" t="n">
        <f aca="false">SUM(E105:J105)</f>
        <v>436</v>
      </c>
      <c r="L105" s="15" t="n">
        <f aca="false">IFERROR((K105-K101)/K101,0)</f>
        <v>0.0430622009569378</v>
      </c>
      <c r="M105" s="11" t="s">
        <v>51</v>
      </c>
    </row>
    <row r="106" customFormat="false" ht="15" hidden="false" customHeight="false" outlineLevel="0" collapsed="false">
      <c r="A106" s="19" t="s">
        <v>58</v>
      </c>
      <c r="B106" s="12" t="s">
        <v>28</v>
      </c>
      <c r="C106" s="13" t="s">
        <v>21</v>
      </c>
      <c r="D106" s="13" t="s">
        <v>18</v>
      </c>
      <c r="E106" s="14" t="n">
        <v>52</v>
      </c>
      <c r="F106" s="14" t="n">
        <v>45</v>
      </c>
      <c r="G106" s="14" t="n">
        <v>47</v>
      </c>
      <c r="H106" s="14" t="n">
        <v>48</v>
      </c>
      <c r="I106" s="14" t="n">
        <v>53</v>
      </c>
      <c r="J106" s="14" t="n">
        <v>15</v>
      </c>
      <c r="K106" s="9" t="n">
        <f aca="false">SUM(E106:J106)</f>
        <v>260</v>
      </c>
      <c r="L106" s="15" t="n">
        <f aca="false">IFERROR((K106-K102)/K102,0)</f>
        <v>0.0743801652892562</v>
      </c>
      <c r="M106" s="11" t="s">
        <v>34</v>
      </c>
    </row>
    <row r="107" customFormat="false" ht="15" hidden="false" customHeight="false" outlineLevel="0" collapsed="false">
      <c r="A107" s="19" t="s">
        <v>58</v>
      </c>
      <c r="B107" s="12" t="s">
        <v>28</v>
      </c>
      <c r="C107" s="13" t="s">
        <v>23</v>
      </c>
      <c r="D107" s="13" t="s">
        <v>24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2258</v>
      </c>
      <c r="J107" s="14" t="n">
        <v>0</v>
      </c>
      <c r="K107" s="9" t="n">
        <f aca="false">SUM(E107:J107)</f>
        <v>2258</v>
      </c>
      <c r="L107" s="15" t="n">
        <f aca="false">IFERROR((K107-K103)/K103,0)</f>
        <v>0.122266401590457</v>
      </c>
      <c r="M107" s="11" t="s">
        <v>56</v>
      </c>
    </row>
    <row r="108" customFormat="false" ht="15" hidden="false" customHeight="false" outlineLevel="0" collapsed="false">
      <c r="A108" s="19" t="s">
        <v>58</v>
      </c>
      <c r="B108" s="12" t="s">
        <v>28</v>
      </c>
      <c r="C108" s="13" t="s">
        <v>26</v>
      </c>
      <c r="D108" s="13" t="s">
        <v>24</v>
      </c>
      <c r="E108" s="14" t="n">
        <v>0</v>
      </c>
      <c r="F108" s="14" t="n">
        <v>0</v>
      </c>
      <c r="G108" s="14" t="n">
        <v>0</v>
      </c>
      <c r="H108" s="14" t="n">
        <v>0</v>
      </c>
      <c r="I108" s="14" t="n">
        <v>0</v>
      </c>
      <c r="J108" s="14" t="n">
        <v>4445</v>
      </c>
      <c r="K108" s="9" t="n">
        <f aca="false">SUM(E108:J108)</f>
        <v>4445</v>
      </c>
      <c r="L108" s="15" t="n">
        <f aca="false">IFERROR((K108-K104)/K104,0)</f>
        <v>0.199082816293499</v>
      </c>
      <c r="M108" s="11" t="s">
        <v>54</v>
      </c>
    </row>
    <row r="109" customFormat="false" ht="15" hidden="false" customHeight="false" outlineLevel="0" collapsed="false">
      <c r="A109" s="19" t="s">
        <v>58</v>
      </c>
      <c r="B109" s="6" t="s">
        <v>32</v>
      </c>
      <c r="C109" s="7" t="s">
        <v>17</v>
      </c>
      <c r="D109" s="7" t="s">
        <v>18</v>
      </c>
      <c r="E109" s="8" t="n">
        <v>89</v>
      </c>
      <c r="F109" s="8" t="n">
        <v>86</v>
      </c>
      <c r="G109" s="8" t="n">
        <v>81</v>
      </c>
      <c r="H109" s="8" t="n">
        <v>86</v>
      </c>
      <c r="I109" s="8" t="n">
        <v>86</v>
      </c>
      <c r="J109" s="8" t="n">
        <v>49</v>
      </c>
      <c r="K109" s="9" t="n">
        <f aca="false">SUM(E109:J109)</f>
        <v>477</v>
      </c>
      <c r="L109" s="10" t="n">
        <f aca="false">IFERROR((K109-K105)/K105,0)</f>
        <v>0.0940366972477064</v>
      </c>
      <c r="M109" s="11" t="s">
        <v>20</v>
      </c>
    </row>
    <row r="110" customFormat="false" ht="15" hidden="false" customHeight="false" outlineLevel="0" collapsed="false">
      <c r="A110" s="19" t="s">
        <v>58</v>
      </c>
      <c r="B110" s="6" t="s">
        <v>32</v>
      </c>
      <c r="C110" s="7" t="s">
        <v>21</v>
      </c>
      <c r="D110" s="7" t="s">
        <v>18</v>
      </c>
      <c r="E110" s="8" t="n">
        <v>57</v>
      </c>
      <c r="F110" s="8" t="n">
        <v>52</v>
      </c>
      <c r="G110" s="8" t="n">
        <v>51</v>
      </c>
      <c r="H110" s="8" t="n">
        <v>53</v>
      </c>
      <c r="I110" s="8" t="n">
        <v>55</v>
      </c>
      <c r="J110" s="8" t="n">
        <v>27</v>
      </c>
      <c r="K110" s="9" t="n">
        <f aca="false">SUM(E110:J110)</f>
        <v>295</v>
      </c>
      <c r="L110" s="10" t="n">
        <f aca="false">IFERROR((K110-K106)/K106,0)</f>
        <v>0.134615384615385</v>
      </c>
      <c r="M110" s="11" t="s">
        <v>48</v>
      </c>
    </row>
    <row r="111" customFormat="false" ht="15" hidden="false" customHeight="false" outlineLevel="0" collapsed="false">
      <c r="A111" s="19" t="s">
        <v>58</v>
      </c>
      <c r="B111" s="6" t="s">
        <v>32</v>
      </c>
      <c r="C111" s="7" t="s">
        <v>23</v>
      </c>
      <c r="D111" s="7" t="s">
        <v>24</v>
      </c>
      <c r="E111" s="8" t="n">
        <v>0</v>
      </c>
      <c r="F111" s="8" t="n">
        <v>0</v>
      </c>
      <c r="G111" s="8" t="n">
        <v>0</v>
      </c>
      <c r="H111" s="8" t="n">
        <v>0</v>
      </c>
      <c r="I111" s="8" t="n">
        <v>2773</v>
      </c>
      <c r="J111" s="8" t="n">
        <v>0</v>
      </c>
      <c r="K111" s="9" t="n">
        <f aca="false">SUM(E111:J111)</f>
        <v>2773</v>
      </c>
      <c r="L111" s="10" t="n">
        <f aca="false">IFERROR((K111-K107)/K107,0)</f>
        <v>0.228077945084145</v>
      </c>
      <c r="M111" s="11" t="s">
        <v>30</v>
      </c>
    </row>
    <row r="112" customFormat="false" ht="15" hidden="false" customHeight="false" outlineLevel="0" collapsed="false">
      <c r="A112" s="19" t="s">
        <v>58</v>
      </c>
      <c r="B112" s="6" t="s">
        <v>32</v>
      </c>
      <c r="C112" s="7" t="s">
        <v>26</v>
      </c>
      <c r="D112" s="7" t="s">
        <v>24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6471</v>
      </c>
      <c r="K112" s="9" t="n">
        <f aca="false">SUM(E112:J112)</f>
        <v>6471</v>
      </c>
      <c r="L112" s="10" t="n">
        <f aca="false">IFERROR((K112-K108)/K108,0)</f>
        <v>0.455793025871766</v>
      </c>
      <c r="M112" s="11" t="s">
        <v>36</v>
      </c>
    </row>
    <row r="113" customFormat="false" ht="15" hidden="false" customHeight="false" outlineLevel="0" collapsed="false">
      <c r="A113" s="19" t="s">
        <v>58</v>
      </c>
      <c r="B113" s="12" t="s">
        <v>37</v>
      </c>
      <c r="C113" s="13" t="s">
        <v>17</v>
      </c>
      <c r="D113" s="13" t="s">
        <v>18</v>
      </c>
      <c r="E113" s="14" t="n">
        <v>78</v>
      </c>
      <c r="F113" s="14" t="n">
        <v>78</v>
      </c>
      <c r="G113" s="14" t="n">
        <v>79</v>
      </c>
      <c r="H113" s="14" t="n">
        <v>84</v>
      </c>
      <c r="I113" s="14" t="n">
        <v>80</v>
      </c>
      <c r="J113" s="14" t="n">
        <v>61</v>
      </c>
      <c r="K113" s="9" t="n">
        <f aca="false">SUM(E113:J113)</f>
        <v>460</v>
      </c>
      <c r="L113" s="15" t="n">
        <f aca="false">IFERROR((K113-K109)/K109,0)</f>
        <v>-0.0356394129979036</v>
      </c>
      <c r="M113" s="11" t="s">
        <v>33</v>
      </c>
    </row>
    <row r="114" customFormat="false" ht="15" hidden="false" customHeight="false" outlineLevel="0" collapsed="false">
      <c r="A114" s="19" t="s">
        <v>58</v>
      </c>
      <c r="B114" s="12" t="s">
        <v>37</v>
      </c>
      <c r="C114" s="13" t="s">
        <v>21</v>
      </c>
      <c r="D114" s="13" t="s">
        <v>18</v>
      </c>
      <c r="E114" s="14" t="n">
        <v>56</v>
      </c>
      <c r="F114" s="14" t="n">
        <v>50</v>
      </c>
      <c r="G114" s="14" t="n">
        <v>49</v>
      </c>
      <c r="H114" s="14" t="n">
        <v>49</v>
      </c>
      <c r="I114" s="14" t="n">
        <v>53</v>
      </c>
      <c r="J114" s="14" t="n">
        <v>32</v>
      </c>
      <c r="K114" s="9" t="n">
        <f aca="false">SUM(E114:J114)</f>
        <v>289</v>
      </c>
      <c r="L114" s="15" t="n">
        <f aca="false">IFERROR((K114-K110)/K110,0)</f>
        <v>-0.0203389830508475</v>
      </c>
      <c r="M114" s="11" t="s">
        <v>34</v>
      </c>
    </row>
    <row r="115" customFormat="false" ht="15" hidden="false" customHeight="false" outlineLevel="0" collapsed="false">
      <c r="A115" s="19" t="s">
        <v>58</v>
      </c>
      <c r="B115" s="12" t="s">
        <v>37</v>
      </c>
      <c r="C115" s="13" t="s">
        <v>23</v>
      </c>
      <c r="D115" s="13" t="s">
        <v>24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2393</v>
      </c>
      <c r="J115" s="14" t="n">
        <v>0</v>
      </c>
      <c r="K115" s="9" t="n">
        <f aca="false">SUM(E115:J115)</f>
        <v>2393</v>
      </c>
      <c r="L115" s="15" t="n">
        <f aca="false">IFERROR((K115-K111)/K111,0)</f>
        <v>-0.137035701406419</v>
      </c>
      <c r="M115" s="11" t="s">
        <v>30</v>
      </c>
    </row>
    <row r="116" customFormat="false" ht="15" hidden="false" customHeight="false" outlineLevel="0" collapsed="false">
      <c r="A116" s="19" t="s">
        <v>58</v>
      </c>
      <c r="B116" s="12" t="s">
        <v>37</v>
      </c>
      <c r="C116" s="13" t="s">
        <v>26</v>
      </c>
      <c r="D116" s="13" t="s">
        <v>24</v>
      </c>
      <c r="E116" s="14" t="n">
        <v>0</v>
      </c>
      <c r="F116" s="14" t="n">
        <v>0</v>
      </c>
      <c r="G116" s="14" t="n">
        <v>0</v>
      </c>
      <c r="H116" s="14" t="n">
        <v>0</v>
      </c>
      <c r="I116" s="14" t="n">
        <v>0</v>
      </c>
      <c r="J116" s="14" t="n">
        <v>8298</v>
      </c>
      <c r="K116" s="9" t="n">
        <f aca="false">SUM(E116:J116)</f>
        <v>8298</v>
      </c>
      <c r="L116" s="15" t="n">
        <f aca="false">IFERROR((K116-K112)/K112,0)</f>
        <v>0.282336578581363</v>
      </c>
      <c r="M116" s="11" t="s">
        <v>39</v>
      </c>
    </row>
    <row r="117" customFormat="false" ht="15" hidden="false" customHeight="false" outlineLevel="0" collapsed="false">
      <c r="A117" s="19" t="s">
        <v>58</v>
      </c>
      <c r="B117" s="6" t="s">
        <v>40</v>
      </c>
      <c r="C117" s="7" t="s">
        <v>17</v>
      </c>
      <c r="D117" s="7" t="s">
        <v>18</v>
      </c>
      <c r="E117" s="8" t="n">
        <v>81</v>
      </c>
      <c r="F117" s="8" t="n">
        <v>77</v>
      </c>
      <c r="G117" s="8" t="n">
        <v>74</v>
      </c>
      <c r="H117" s="8" t="n">
        <v>76</v>
      </c>
      <c r="I117" s="8" t="n">
        <v>75</v>
      </c>
      <c r="J117" s="8" t="n">
        <v>75</v>
      </c>
      <c r="K117" s="9" t="n">
        <f aca="false">SUM(E117:J117)</f>
        <v>458</v>
      </c>
      <c r="L117" s="10" t="n">
        <f aca="false">IFERROR((K117-K113)/K113,0)</f>
        <v>-0.00434782608695652</v>
      </c>
      <c r="M117" s="11" t="s">
        <v>29</v>
      </c>
    </row>
    <row r="118" customFormat="false" ht="15" hidden="false" customHeight="false" outlineLevel="0" collapsed="false">
      <c r="A118" s="19" t="s">
        <v>58</v>
      </c>
      <c r="B118" s="6" t="s">
        <v>40</v>
      </c>
      <c r="C118" s="7" t="s">
        <v>21</v>
      </c>
      <c r="D118" s="7" t="s">
        <v>18</v>
      </c>
      <c r="E118" s="8" t="n">
        <v>49</v>
      </c>
      <c r="F118" s="8" t="n">
        <v>45</v>
      </c>
      <c r="G118" s="8" t="n">
        <v>39</v>
      </c>
      <c r="H118" s="8" t="n">
        <v>47</v>
      </c>
      <c r="I118" s="8" t="n">
        <v>47</v>
      </c>
      <c r="J118" s="8" t="n">
        <v>35</v>
      </c>
      <c r="K118" s="9" t="n">
        <f aca="false">SUM(E118:J118)</f>
        <v>262</v>
      </c>
      <c r="L118" s="10" t="n">
        <f aca="false">IFERROR((K118-K114)/K114,0)</f>
        <v>-0.0934256055363322</v>
      </c>
      <c r="M118" s="11" t="s">
        <v>48</v>
      </c>
    </row>
    <row r="119" customFormat="false" ht="15" hidden="false" customHeight="false" outlineLevel="0" collapsed="false">
      <c r="A119" s="19" t="s">
        <v>58</v>
      </c>
      <c r="B119" s="6" t="s">
        <v>40</v>
      </c>
      <c r="C119" s="7" t="s">
        <v>23</v>
      </c>
      <c r="D119" s="7" t="s">
        <v>24</v>
      </c>
      <c r="E119" s="8" t="n">
        <v>0</v>
      </c>
      <c r="F119" s="8" t="n">
        <v>0</v>
      </c>
      <c r="G119" s="8" t="n">
        <v>0</v>
      </c>
      <c r="H119" s="8" t="n">
        <v>0</v>
      </c>
      <c r="I119" s="8" t="n">
        <v>2253</v>
      </c>
      <c r="J119" s="8" t="n">
        <v>0</v>
      </c>
      <c r="K119" s="9" t="n">
        <f aca="false">SUM(E119:J119)</f>
        <v>2253</v>
      </c>
      <c r="L119" s="10" t="n">
        <f aca="false">IFERROR((K119-K115)/K115,0)</f>
        <v>-0.0585039699122441</v>
      </c>
      <c r="M119" s="11" t="s">
        <v>30</v>
      </c>
    </row>
    <row r="120" customFormat="false" ht="15" hidden="false" customHeight="false" outlineLevel="0" collapsed="false">
      <c r="A120" s="19" t="s">
        <v>58</v>
      </c>
      <c r="B120" s="6" t="s">
        <v>40</v>
      </c>
      <c r="C120" s="7" t="s">
        <v>26</v>
      </c>
      <c r="D120" s="7" t="s">
        <v>24</v>
      </c>
      <c r="E120" s="8" t="n">
        <v>0</v>
      </c>
      <c r="F120" s="8" t="n">
        <v>0</v>
      </c>
      <c r="G120" s="8" t="n">
        <v>0</v>
      </c>
      <c r="H120" s="8" t="n">
        <v>0</v>
      </c>
      <c r="I120" s="8" t="n">
        <v>0</v>
      </c>
      <c r="J120" s="8" t="n">
        <v>9277</v>
      </c>
      <c r="K120" s="9" t="n">
        <f aca="false">SUM(E120:J120)</f>
        <v>9277</v>
      </c>
      <c r="L120" s="10" t="n">
        <f aca="false">IFERROR((K120-K116)/K116,0)</f>
        <v>0.117980236201494</v>
      </c>
      <c r="M120" s="11" t="s">
        <v>54</v>
      </c>
    </row>
    <row r="121" customFormat="false" ht="15" hidden="false" customHeight="false" outlineLevel="0" collapsed="false">
      <c r="A121" s="19" t="s">
        <v>58</v>
      </c>
      <c r="B121" s="12" t="s">
        <v>41</v>
      </c>
      <c r="C121" s="13" t="s">
        <v>17</v>
      </c>
      <c r="D121" s="13" t="s">
        <v>18</v>
      </c>
      <c r="E121" s="14" t="n">
        <v>81</v>
      </c>
      <c r="F121" s="14" t="n">
        <v>76</v>
      </c>
      <c r="G121" s="14" t="n">
        <v>77</v>
      </c>
      <c r="H121" s="14" t="n">
        <v>79</v>
      </c>
      <c r="I121" s="14" t="n">
        <v>82</v>
      </c>
      <c r="J121" s="14" t="n">
        <v>79</v>
      </c>
      <c r="K121" s="9" t="n">
        <f aca="false">SUM(E121:J121)</f>
        <v>474</v>
      </c>
      <c r="L121" s="15" t="n">
        <f aca="false">IFERROR((K121-K117)/K117,0)</f>
        <v>0.0349344978165939</v>
      </c>
      <c r="M121" s="16"/>
    </row>
    <row r="122" customFormat="false" ht="15" hidden="false" customHeight="false" outlineLevel="0" collapsed="false">
      <c r="A122" s="19" t="s">
        <v>58</v>
      </c>
      <c r="B122" s="12" t="s">
        <v>41</v>
      </c>
      <c r="C122" s="13" t="s">
        <v>21</v>
      </c>
      <c r="D122" s="13" t="s">
        <v>18</v>
      </c>
      <c r="E122" s="14" t="n">
        <v>44</v>
      </c>
      <c r="F122" s="14" t="n">
        <v>39</v>
      </c>
      <c r="G122" s="14" t="n">
        <v>39</v>
      </c>
      <c r="H122" s="14" t="n">
        <v>40</v>
      </c>
      <c r="I122" s="14" t="n">
        <v>44</v>
      </c>
      <c r="J122" s="14" t="n">
        <v>47</v>
      </c>
      <c r="K122" s="9" t="n">
        <f aca="false">SUM(E122:J122)</f>
        <v>253</v>
      </c>
      <c r="L122" s="15" t="n">
        <f aca="false">IFERROR((K122-K118)/K118,0)</f>
        <v>-0.0343511450381679</v>
      </c>
      <c r="M122" s="11" t="s">
        <v>45</v>
      </c>
    </row>
    <row r="123" customFormat="false" ht="15" hidden="false" customHeight="false" outlineLevel="0" collapsed="false">
      <c r="A123" s="19" t="s">
        <v>58</v>
      </c>
      <c r="B123" s="12" t="s">
        <v>41</v>
      </c>
      <c r="C123" s="13" t="s">
        <v>23</v>
      </c>
      <c r="D123" s="13" t="s">
        <v>24</v>
      </c>
      <c r="E123" s="14" t="n">
        <v>0</v>
      </c>
      <c r="F123" s="14" t="n">
        <v>0</v>
      </c>
      <c r="G123" s="14" t="n">
        <v>0</v>
      </c>
      <c r="H123" s="14" t="n">
        <v>0</v>
      </c>
      <c r="I123" s="14" t="n">
        <v>2251</v>
      </c>
      <c r="J123" s="14" t="n">
        <v>0</v>
      </c>
      <c r="K123" s="9" t="n">
        <f aca="false">SUM(E123:J123)</f>
        <v>2251</v>
      </c>
      <c r="L123" s="15" t="n">
        <f aca="false">IFERROR((K123-K119)/K119,0)</f>
        <v>-0.000887705281846427</v>
      </c>
      <c r="M123" s="11" t="s">
        <v>25</v>
      </c>
    </row>
    <row r="124" customFormat="false" ht="15" hidden="false" customHeight="false" outlineLevel="0" collapsed="false">
      <c r="A124" s="19" t="s">
        <v>58</v>
      </c>
      <c r="B124" s="12" t="s">
        <v>41</v>
      </c>
      <c r="C124" s="13" t="s">
        <v>26</v>
      </c>
      <c r="D124" s="13" t="s">
        <v>24</v>
      </c>
      <c r="E124" s="14" t="n">
        <v>0</v>
      </c>
      <c r="F124" s="14" t="n">
        <v>0</v>
      </c>
      <c r="G124" s="14" t="n">
        <v>0</v>
      </c>
      <c r="H124" s="14" t="n">
        <v>0</v>
      </c>
      <c r="I124" s="14" t="n">
        <v>0</v>
      </c>
      <c r="J124" s="14" t="n">
        <v>10333</v>
      </c>
      <c r="K124" s="9" t="n">
        <f aca="false">SUM(E124:J124)</f>
        <v>10333</v>
      </c>
      <c r="L124" s="15" t="n">
        <f aca="false">IFERROR((K124-K120)/K120,0)</f>
        <v>0.113829901907944</v>
      </c>
      <c r="M124" s="11" t="s">
        <v>27</v>
      </c>
    </row>
    <row r="125" customFormat="false" ht="15" hidden="false" customHeight="false" outlineLevel="0" collapsed="false">
      <c r="A125" s="19" t="s">
        <v>58</v>
      </c>
      <c r="B125" s="6" t="s">
        <v>44</v>
      </c>
      <c r="C125" s="7" t="s">
        <v>17</v>
      </c>
      <c r="D125" s="7" t="s">
        <v>18</v>
      </c>
      <c r="E125" s="8" t="n">
        <v>83</v>
      </c>
      <c r="F125" s="8" t="n">
        <v>81</v>
      </c>
      <c r="G125" s="8" t="n">
        <v>82</v>
      </c>
      <c r="H125" s="8" t="n">
        <v>88</v>
      </c>
      <c r="I125" s="8" t="n">
        <v>82</v>
      </c>
      <c r="J125" s="8" t="n">
        <v>82</v>
      </c>
      <c r="K125" s="9" t="n">
        <f aca="false">SUM(E125:J125)</f>
        <v>498</v>
      </c>
      <c r="L125" s="10" t="n">
        <f aca="false">IFERROR((K125-K121)/K121,0)</f>
        <v>0.0506329113924051</v>
      </c>
      <c r="M125" s="11" t="s">
        <v>20</v>
      </c>
    </row>
    <row r="126" customFormat="false" ht="15" hidden="false" customHeight="false" outlineLevel="0" collapsed="false">
      <c r="A126" s="19" t="s">
        <v>58</v>
      </c>
      <c r="B126" s="6" t="s">
        <v>44</v>
      </c>
      <c r="C126" s="7" t="s">
        <v>21</v>
      </c>
      <c r="D126" s="7" t="s">
        <v>18</v>
      </c>
      <c r="E126" s="8" t="n">
        <v>82</v>
      </c>
      <c r="F126" s="8" t="n">
        <v>75</v>
      </c>
      <c r="G126" s="8" t="n">
        <v>75</v>
      </c>
      <c r="H126" s="8" t="n">
        <v>78</v>
      </c>
      <c r="I126" s="8" t="n">
        <v>86</v>
      </c>
      <c r="J126" s="8" t="n">
        <v>92</v>
      </c>
      <c r="K126" s="9" t="n">
        <f aca="false">SUM(E126:J126)</f>
        <v>488</v>
      </c>
      <c r="L126" s="10" t="n">
        <f aca="false">IFERROR((K126-K122)/K122,0)</f>
        <v>0.928853754940711</v>
      </c>
      <c r="M126" s="11" t="s">
        <v>42</v>
      </c>
    </row>
    <row r="127" customFormat="false" ht="15" hidden="false" customHeight="false" outlineLevel="0" collapsed="false">
      <c r="A127" s="19" t="s">
        <v>58</v>
      </c>
      <c r="B127" s="6" t="s">
        <v>44</v>
      </c>
      <c r="C127" s="7" t="s">
        <v>23</v>
      </c>
      <c r="D127" s="7" t="s">
        <v>24</v>
      </c>
      <c r="E127" s="8" t="n">
        <v>0</v>
      </c>
      <c r="F127" s="8" t="n">
        <v>0</v>
      </c>
      <c r="G127" s="8" t="n">
        <v>0</v>
      </c>
      <c r="H127" s="8" t="n">
        <v>0</v>
      </c>
      <c r="I127" s="8" t="n">
        <v>2566</v>
      </c>
      <c r="J127" s="8" t="n">
        <v>0</v>
      </c>
      <c r="K127" s="9" t="n">
        <f aca="false">SUM(E127:J127)</f>
        <v>2566</v>
      </c>
      <c r="L127" s="10" t="n">
        <f aca="false">IFERROR((K127-K123)/K123,0)</f>
        <v>0.139937805419813</v>
      </c>
      <c r="M127" s="11" t="s">
        <v>35</v>
      </c>
    </row>
    <row r="128" customFormat="false" ht="15" hidden="false" customHeight="false" outlineLevel="0" collapsed="false">
      <c r="A128" s="19" t="s">
        <v>58</v>
      </c>
      <c r="B128" s="6" t="s">
        <v>44</v>
      </c>
      <c r="C128" s="7" t="s">
        <v>26</v>
      </c>
      <c r="D128" s="7" t="s">
        <v>24</v>
      </c>
      <c r="E128" s="8" t="n">
        <v>0</v>
      </c>
      <c r="F128" s="8" t="n">
        <v>0</v>
      </c>
      <c r="G128" s="8" t="n">
        <v>0</v>
      </c>
      <c r="H128" s="8" t="n">
        <v>0</v>
      </c>
      <c r="I128" s="8" t="n">
        <v>0</v>
      </c>
      <c r="J128" s="8" t="n">
        <v>11361</v>
      </c>
      <c r="K128" s="9" t="n">
        <f aca="false">SUM(E128:J128)</f>
        <v>11361</v>
      </c>
      <c r="L128" s="10" t="n">
        <f aca="false">IFERROR((K128-K124)/K124,0)</f>
        <v>0.0994870802283945</v>
      </c>
      <c r="M128" s="11" t="s">
        <v>57</v>
      </c>
    </row>
    <row r="129" customFormat="false" ht="15" hidden="false" customHeight="false" outlineLevel="0" collapsed="false">
      <c r="A129" s="19" t="s">
        <v>58</v>
      </c>
      <c r="B129" s="12" t="s">
        <v>46</v>
      </c>
      <c r="C129" s="13" t="s">
        <v>17</v>
      </c>
      <c r="D129" s="13" t="s">
        <v>18</v>
      </c>
      <c r="E129" s="14" t="n">
        <v>81</v>
      </c>
      <c r="F129" s="14" t="n">
        <v>74</v>
      </c>
      <c r="G129" s="14" t="n">
        <v>71</v>
      </c>
      <c r="H129" s="14" t="n">
        <v>79</v>
      </c>
      <c r="I129" s="14" t="n">
        <v>72</v>
      </c>
      <c r="J129" s="14" t="n">
        <v>81</v>
      </c>
      <c r="K129" s="9" t="n">
        <f aca="false">SUM(E129:J129)</f>
        <v>458</v>
      </c>
      <c r="L129" s="15" t="n">
        <f aca="false">IFERROR((K129-K125)/K125,0)</f>
        <v>-0.0803212851405623</v>
      </c>
      <c r="M129" s="16"/>
    </row>
    <row r="130" customFormat="false" ht="15" hidden="false" customHeight="false" outlineLevel="0" collapsed="false">
      <c r="A130" s="19" t="s">
        <v>58</v>
      </c>
      <c r="B130" s="12" t="s">
        <v>46</v>
      </c>
      <c r="C130" s="13" t="s">
        <v>21</v>
      </c>
      <c r="D130" s="13" t="s">
        <v>18</v>
      </c>
      <c r="E130" s="14" t="n">
        <v>95</v>
      </c>
      <c r="F130" s="14" t="n">
        <v>88</v>
      </c>
      <c r="G130" s="14" t="n">
        <v>86</v>
      </c>
      <c r="H130" s="14" t="n">
        <v>88</v>
      </c>
      <c r="I130" s="14" t="n">
        <v>93</v>
      </c>
      <c r="J130" s="14" t="n">
        <v>101</v>
      </c>
      <c r="K130" s="9" t="n">
        <f aca="false">SUM(E130:J130)</f>
        <v>551</v>
      </c>
      <c r="L130" s="15" t="n">
        <f aca="false">IFERROR((K130-K126)/K126,0)</f>
        <v>0.129098360655738</v>
      </c>
      <c r="M130" s="11" t="s">
        <v>34</v>
      </c>
    </row>
    <row r="131" customFormat="false" ht="15" hidden="false" customHeight="false" outlineLevel="0" collapsed="false">
      <c r="A131" s="19" t="s">
        <v>58</v>
      </c>
      <c r="B131" s="12" t="s">
        <v>46</v>
      </c>
      <c r="C131" s="13" t="s">
        <v>23</v>
      </c>
      <c r="D131" s="13" t="s">
        <v>24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2890</v>
      </c>
      <c r="J131" s="14" t="n">
        <v>0</v>
      </c>
      <c r="K131" s="9" t="n">
        <f aca="false">SUM(E131:J131)</f>
        <v>2890</v>
      </c>
      <c r="L131" s="15" t="n">
        <f aca="false">IFERROR((K131-K127)/K127,0)</f>
        <v>0.12626656274357</v>
      </c>
      <c r="M131" s="11" t="s">
        <v>30</v>
      </c>
    </row>
    <row r="132" customFormat="false" ht="15" hidden="false" customHeight="false" outlineLevel="0" collapsed="false">
      <c r="A132" s="19" t="s">
        <v>58</v>
      </c>
      <c r="B132" s="12" t="s">
        <v>46</v>
      </c>
      <c r="C132" s="13" t="s">
        <v>26</v>
      </c>
      <c r="D132" s="13" t="s">
        <v>24</v>
      </c>
      <c r="E132" s="14" t="n">
        <v>0</v>
      </c>
      <c r="F132" s="14" t="n">
        <v>0</v>
      </c>
      <c r="G132" s="14" t="n">
        <v>0</v>
      </c>
      <c r="H132" s="14" t="n">
        <v>0</v>
      </c>
      <c r="I132" s="14" t="n">
        <v>0</v>
      </c>
      <c r="J132" s="14" t="n">
        <v>12364</v>
      </c>
      <c r="K132" s="9" t="n">
        <f aca="false">SUM(E132:J132)</f>
        <v>12364</v>
      </c>
      <c r="L132" s="15" t="n">
        <f aca="false">IFERROR((K132-K128)/K128,0)</f>
        <v>0.088284481999824</v>
      </c>
      <c r="M132" s="11" t="s">
        <v>31</v>
      </c>
    </row>
    <row r="133" customFormat="false" ht="15" hidden="false" customHeight="false" outlineLevel="0" collapsed="false">
      <c r="A133" s="19" t="s">
        <v>58</v>
      </c>
      <c r="B133" s="6" t="s">
        <v>47</v>
      </c>
      <c r="C133" s="7" t="s">
        <v>17</v>
      </c>
      <c r="D133" s="7" t="s">
        <v>18</v>
      </c>
      <c r="E133" s="8" t="n">
        <v>84</v>
      </c>
      <c r="F133" s="8" t="n">
        <v>83</v>
      </c>
      <c r="G133" s="8" t="n">
        <v>79</v>
      </c>
      <c r="H133" s="8" t="n">
        <v>79</v>
      </c>
      <c r="I133" s="8" t="n">
        <v>75</v>
      </c>
      <c r="J133" s="8" t="n">
        <v>83</v>
      </c>
      <c r="K133" s="9" t="n">
        <f aca="false">SUM(E133:J133)</f>
        <v>483</v>
      </c>
      <c r="L133" s="10" t="n">
        <f aca="false">IFERROR((K133-K129)/K129,0)</f>
        <v>0.054585152838428</v>
      </c>
      <c r="M133" s="17"/>
    </row>
    <row r="134" customFormat="false" ht="15" hidden="false" customHeight="false" outlineLevel="0" collapsed="false">
      <c r="A134" s="19" t="s">
        <v>58</v>
      </c>
      <c r="B134" s="6" t="s">
        <v>47</v>
      </c>
      <c r="C134" s="7" t="s">
        <v>21</v>
      </c>
      <c r="D134" s="7" t="s">
        <v>18</v>
      </c>
      <c r="E134" s="8" t="n">
        <v>62</v>
      </c>
      <c r="F134" s="8" t="n">
        <v>61</v>
      </c>
      <c r="G134" s="8" t="n">
        <v>57</v>
      </c>
      <c r="H134" s="8" t="n">
        <v>58</v>
      </c>
      <c r="I134" s="8" t="n">
        <v>64</v>
      </c>
      <c r="J134" s="8" t="n">
        <v>65</v>
      </c>
      <c r="K134" s="9" t="n">
        <f aca="false">SUM(E134:J134)</f>
        <v>367</v>
      </c>
      <c r="L134" s="10" t="n">
        <f aca="false">IFERROR((K134-K130)/K130,0)</f>
        <v>-0.333938294010889</v>
      </c>
      <c r="M134" s="11" t="s">
        <v>34</v>
      </c>
    </row>
    <row r="135" customFormat="false" ht="15" hidden="false" customHeight="false" outlineLevel="0" collapsed="false">
      <c r="A135" s="19" t="s">
        <v>58</v>
      </c>
      <c r="B135" s="6" t="s">
        <v>47</v>
      </c>
      <c r="C135" s="7" t="s">
        <v>23</v>
      </c>
      <c r="D135" s="7" t="s">
        <v>24</v>
      </c>
      <c r="E135" s="8" t="n">
        <v>0</v>
      </c>
      <c r="F135" s="8" t="n">
        <v>0</v>
      </c>
      <c r="G135" s="8" t="n">
        <v>0</v>
      </c>
      <c r="H135" s="8" t="n">
        <v>0</v>
      </c>
      <c r="I135" s="8" t="n">
        <v>2363</v>
      </c>
      <c r="J135" s="8" t="n">
        <v>0</v>
      </c>
      <c r="K135" s="9" t="n">
        <f aca="false">SUM(E135:J135)</f>
        <v>2363</v>
      </c>
      <c r="L135" s="10" t="n">
        <f aca="false">IFERROR((K135-K131)/K131,0)</f>
        <v>-0.182352941176471</v>
      </c>
      <c r="M135" s="11" t="s">
        <v>56</v>
      </c>
    </row>
    <row r="136" customFormat="false" ht="15" hidden="false" customHeight="false" outlineLevel="0" collapsed="false">
      <c r="A136" s="19" t="s">
        <v>58</v>
      </c>
      <c r="B136" s="6" t="s">
        <v>47</v>
      </c>
      <c r="C136" s="7" t="s">
        <v>26</v>
      </c>
      <c r="D136" s="7" t="s">
        <v>24</v>
      </c>
      <c r="E136" s="8" t="n">
        <v>0</v>
      </c>
      <c r="F136" s="8" t="n">
        <v>0</v>
      </c>
      <c r="G136" s="8" t="n">
        <v>0</v>
      </c>
      <c r="H136" s="8" t="n">
        <v>0</v>
      </c>
      <c r="I136" s="8" t="n">
        <v>0</v>
      </c>
      <c r="J136" s="8" t="n">
        <v>14007</v>
      </c>
      <c r="K136" s="9" t="n">
        <f aca="false">SUM(E136:J136)</f>
        <v>14007</v>
      </c>
      <c r="L136" s="10" t="n">
        <f aca="false">IFERROR((K136-K132)/K132,0)</f>
        <v>0.132885797476545</v>
      </c>
      <c r="M136" s="11" t="s">
        <v>36</v>
      </c>
    </row>
    <row r="137" customFormat="false" ht="15" hidden="false" customHeight="false" outlineLevel="0" collapsed="false">
      <c r="A137" s="19" t="s">
        <v>58</v>
      </c>
      <c r="B137" s="12" t="s">
        <v>49</v>
      </c>
      <c r="C137" s="13" t="s">
        <v>17</v>
      </c>
      <c r="D137" s="13" t="s">
        <v>18</v>
      </c>
      <c r="E137" s="14" t="n">
        <v>86</v>
      </c>
      <c r="F137" s="14" t="n">
        <v>86</v>
      </c>
      <c r="G137" s="14" t="n">
        <v>85</v>
      </c>
      <c r="H137" s="14" t="n">
        <v>85</v>
      </c>
      <c r="I137" s="14" t="n">
        <v>81</v>
      </c>
      <c r="J137" s="14" t="n">
        <v>89</v>
      </c>
      <c r="K137" s="9" t="n">
        <f aca="false">SUM(E137:J137)</f>
        <v>512</v>
      </c>
      <c r="L137" s="15" t="n">
        <f aca="false">IFERROR((K137-K133)/K133,0)</f>
        <v>0.0600414078674948</v>
      </c>
      <c r="M137" s="16"/>
    </row>
    <row r="138" customFormat="false" ht="15" hidden="false" customHeight="false" outlineLevel="0" collapsed="false">
      <c r="A138" s="19" t="s">
        <v>58</v>
      </c>
      <c r="B138" s="12" t="s">
        <v>49</v>
      </c>
      <c r="C138" s="13" t="s">
        <v>21</v>
      </c>
      <c r="D138" s="13" t="s">
        <v>18</v>
      </c>
      <c r="E138" s="14" t="n">
        <v>43</v>
      </c>
      <c r="F138" s="14" t="n">
        <v>39</v>
      </c>
      <c r="G138" s="14" t="n">
        <v>38</v>
      </c>
      <c r="H138" s="14" t="n">
        <v>42</v>
      </c>
      <c r="I138" s="14" t="n">
        <v>43</v>
      </c>
      <c r="J138" s="14" t="n">
        <v>46</v>
      </c>
      <c r="K138" s="9" t="n">
        <f aca="false">SUM(E138:J138)</f>
        <v>251</v>
      </c>
      <c r="L138" s="15" t="n">
        <f aca="false">IFERROR((K138-K134)/K134,0)</f>
        <v>-0.316076294277929</v>
      </c>
      <c r="M138" s="11" t="s">
        <v>34</v>
      </c>
    </row>
    <row r="139" customFormat="false" ht="15" hidden="false" customHeight="false" outlineLevel="0" collapsed="false">
      <c r="A139" s="19" t="s">
        <v>58</v>
      </c>
      <c r="B139" s="12" t="s">
        <v>49</v>
      </c>
      <c r="C139" s="13" t="s">
        <v>23</v>
      </c>
      <c r="D139" s="13" t="s">
        <v>24</v>
      </c>
      <c r="E139" s="14" t="n">
        <v>0</v>
      </c>
      <c r="F139" s="14" t="n">
        <v>0</v>
      </c>
      <c r="G139" s="14" t="n">
        <v>0</v>
      </c>
      <c r="H139" s="14" t="n">
        <v>0</v>
      </c>
      <c r="I139" s="14" t="n">
        <v>2687</v>
      </c>
      <c r="J139" s="14" t="n">
        <v>0</v>
      </c>
      <c r="K139" s="9" t="n">
        <f aca="false">SUM(E139:J139)</f>
        <v>2687</v>
      </c>
      <c r="L139" s="15" t="n">
        <f aca="false">IFERROR((K139-K135)/K135,0)</f>
        <v>0.137113838341092</v>
      </c>
      <c r="M139" s="11" t="s">
        <v>38</v>
      </c>
    </row>
    <row r="140" customFormat="false" ht="15" hidden="false" customHeight="false" outlineLevel="0" collapsed="false">
      <c r="A140" s="19" t="s">
        <v>58</v>
      </c>
      <c r="B140" s="12" t="s">
        <v>49</v>
      </c>
      <c r="C140" s="13" t="s">
        <v>26</v>
      </c>
      <c r="D140" s="13" t="s">
        <v>24</v>
      </c>
      <c r="E140" s="14" t="n">
        <v>0</v>
      </c>
      <c r="F140" s="14" t="n">
        <v>0</v>
      </c>
      <c r="G140" s="14" t="n">
        <v>0</v>
      </c>
      <c r="H140" s="14" t="n">
        <v>0</v>
      </c>
      <c r="I140" s="14" t="n">
        <v>0</v>
      </c>
      <c r="J140" s="14" t="n">
        <v>15137</v>
      </c>
      <c r="K140" s="9" t="n">
        <f aca="false">SUM(E140:J140)</f>
        <v>15137</v>
      </c>
      <c r="L140" s="15" t="n">
        <f aca="false">IFERROR((K140-K136)/K136,0)</f>
        <v>0.0806739487399158</v>
      </c>
      <c r="M140" s="11" t="s">
        <v>31</v>
      </c>
    </row>
    <row r="141" customFormat="false" ht="15" hidden="false" customHeight="false" outlineLevel="0" collapsed="false">
      <c r="A141" s="19" t="s">
        <v>58</v>
      </c>
      <c r="B141" s="6" t="s">
        <v>50</v>
      </c>
      <c r="C141" s="7" t="s">
        <v>17</v>
      </c>
      <c r="D141" s="7" t="s">
        <v>18</v>
      </c>
      <c r="E141" s="8" t="n">
        <v>95</v>
      </c>
      <c r="F141" s="8" t="n">
        <v>92</v>
      </c>
      <c r="G141" s="8" t="n">
        <v>89</v>
      </c>
      <c r="H141" s="8" t="n">
        <v>93</v>
      </c>
      <c r="I141" s="8" t="n">
        <v>91</v>
      </c>
      <c r="J141" s="8" t="n">
        <v>95</v>
      </c>
      <c r="K141" s="9" t="n">
        <f aca="false">SUM(E141:J141)</f>
        <v>555</v>
      </c>
      <c r="L141" s="10" t="n">
        <f aca="false">IFERROR((K141-K137)/K137,0)</f>
        <v>0.083984375</v>
      </c>
      <c r="M141" s="11" t="s">
        <v>53</v>
      </c>
    </row>
    <row r="142" customFormat="false" ht="15" hidden="false" customHeight="false" outlineLevel="0" collapsed="false">
      <c r="A142" s="19" t="s">
        <v>58</v>
      </c>
      <c r="B142" s="6" t="s">
        <v>50</v>
      </c>
      <c r="C142" s="7" t="s">
        <v>21</v>
      </c>
      <c r="D142" s="7" t="s">
        <v>18</v>
      </c>
      <c r="E142" s="8" t="n">
        <v>60</v>
      </c>
      <c r="F142" s="8" t="n">
        <v>53</v>
      </c>
      <c r="G142" s="8" t="n">
        <v>51</v>
      </c>
      <c r="H142" s="8" t="n">
        <v>57</v>
      </c>
      <c r="I142" s="8" t="n">
        <v>60</v>
      </c>
      <c r="J142" s="8" t="n">
        <v>67</v>
      </c>
      <c r="K142" s="9" t="n">
        <f aca="false">SUM(E142:J142)</f>
        <v>348</v>
      </c>
      <c r="L142" s="10" t="n">
        <f aca="false">IFERROR((K142-K138)/K138,0)</f>
        <v>0.386454183266932</v>
      </c>
      <c r="M142" s="11" t="s">
        <v>42</v>
      </c>
    </row>
    <row r="143" customFormat="false" ht="15" hidden="false" customHeight="false" outlineLevel="0" collapsed="false">
      <c r="A143" s="19" t="s">
        <v>58</v>
      </c>
      <c r="B143" s="6" t="s">
        <v>50</v>
      </c>
      <c r="C143" s="7" t="s">
        <v>23</v>
      </c>
      <c r="D143" s="7" t="s">
        <v>24</v>
      </c>
      <c r="E143" s="8" t="n">
        <v>0</v>
      </c>
      <c r="F143" s="8" t="n">
        <v>0</v>
      </c>
      <c r="G143" s="8" t="n">
        <v>0</v>
      </c>
      <c r="H143" s="8" t="n">
        <v>0</v>
      </c>
      <c r="I143" s="8" t="n">
        <v>2813</v>
      </c>
      <c r="J143" s="8" t="n">
        <v>0</v>
      </c>
      <c r="K143" s="9" t="n">
        <f aca="false">SUM(E143:J143)</f>
        <v>2813</v>
      </c>
      <c r="L143" s="10" t="n">
        <f aca="false">IFERROR((K143-K139)/K139,0)</f>
        <v>0.0468924451060662</v>
      </c>
      <c r="M143" s="11" t="s">
        <v>43</v>
      </c>
    </row>
    <row r="144" customFormat="false" ht="15" hidden="false" customHeight="false" outlineLevel="0" collapsed="false">
      <c r="A144" s="19" t="s">
        <v>58</v>
      </c>
      <c r="B144" s="6" t="s">
        <v>50</v>
      </c>
      <c r="C144" s="7" t="s">
        <v>26</v>
      </c>
      <c r="D144" s="7" t="s">
        <v>24</v>
      </c>
      <c r="E144" s="8" t="n">
        <v>0</v>
      </c>
      <c r="F144" s="8" t="n">
        <v>0</v>
      </c>
      <c r="G144" s="8" t="n">
        <v>0</v>
      </c>
      <c r="H144" s="8" t="n">
        <v>0</v>
      </c>
      <c r="I144" s="8" t="n">
        <v>0</v>
      </c>
      <c r="J144" s="8" t="n">
        <v>14044</v>
      </c>
      <c r="K144" s="9" t="n">
        <f aca="false">SUM(E144:J144)</f>
        <v>14044</v>
      </c>
      <c r="L144" s="10" t="n">
        <f aca="false">IFERROR((K144-K140)/K140,0)</f>
        <v>-0.0722071744731453</v>
      </c>
      <c r="M144" s="11" t="s">
        <v>54</v>
      </c>
    </row>
    <row r="145" customFormat="false" ht="15" hidden="false" customHeight="false" outlineLevel="0" collapsed="false">
      <c r="A145" s="19" t="s">
        <v>58</v>
      </c>
      <c r="B145" s="12" t="s">
        <v>52</v>
      </c>
      <c r="C145" s="13" t="s">
        <v>17</v>
      </c>
      <c r="D145" s="13" t="s">
        <v>18</v>
      </c>
      <c r="E145" s="14" t="n">
        <v>96</v>
      </c>
      <c r="F145" s="14" t="n">
        <v>94</v>
      </c>
      <c r="G145" s="14" t="n">
        <v>87</v>
      </c>
      <c r="H145" s="14" t="n">
        <v>92</v>
      </c>
      <c r="I145" s="14" t="n">
        <v>88</v>
      </c>
      <c r="J145" s="14" t="n">
        <v>93</v>
      </c>
      <c r="K145" s="9" t="n">
        <f aca="false">SUM(E145:J145)</f>
        <v>550</v>
      </c>
      <c r="L145" s="15" t="n">
        <f aca="false">IFERROR((K145-K141)/K141,0)</f>
        <v>-0.00900900900900901</v>
      </c>
      <c r="M145" s="11" t="s">
        <v>29</v>
      </c>
    </row>
    <row r="146" customFormat="false" ht="15" hidden="false" customHeight="false" outlineLevel="0" collapsed="false">
      <c r="A146" s="19" t="s">
        <v>58</v>
      </c>
      <c r="B146" s="12" t="s">
        <v>52</v>
      </c>
      <c r="C146" s="13" t="s">
        <v>21</v>
      </c>
      <c r="D146" s="13" t="s">
        <v>18</v>
      </c>
      <c r="E146" s="14" t="n">
        <v>89</v>
      </c>
      <c r="F146" s="14" t="n">
        <v>80</v>
      </c>
      <c r="G146" s="14" t="n">
        <v>80</v>
      </c>
      <c r="H146" s="14" t="n">
        <v>86</v>
      </c>
      <c r="I146" s="14" t="n">
        <v>85</v>
      </c>
      <c r="J146" s="14" t="n">
        <v>89</v>
      </c>
      <c r="K146" s="9" t="n">
        <f aca="false">SUM(E146:J146)</f>
        <v>509</v>
      </c>
      <c r="L146" s="15" t="n">
        <f aca="false">IFERROR((K146-K142)/K142,0)</f>
        <v>0.46264367816092</v>
      </c>
      <c r="M146" s="11" t="s">
        <v>22</v>
      </c>
    </row>
    <row r="147" customFormat="false" ht="15" hidden="false" customHeight="false" outlineLevel="0" collapsed="false">
      <c r="A147" s="19" t="s">
        <v>58</v>
      </c>
      <c r="B147" s="12" t="s">
        <v>52</v>
      </c>
      <c r="C147" s="13" t="s">
        <v>23</v>
      </c>
      <c r="D147" s="13" t="s">
        <v>24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3216</v>
      </c>
      <c r="J147" s="14" t="n">
        <v>0</v>
      </c>
      <c r="K147" s="9" t="n">
        <f aca="false">SUM(E147:J147)</f>
        <v>3216</v>
      </c>
      <c r="L147" s="15" t="n">
        <f aca="false">IFERROR((K147-K143)/K143,0)</f>
        <v>0.143263419836474</v>
      </c>
      <c r="M147" s="11" t="s">
        <v>35</v>
      </c>
    </row>
    <row r="148" customFormat="false" ht="15" hidden="false" customHeight="false" outlineLevel="0" collapsed="false">
      <c r="A148" s="19" t="s">
        <v>58</v>
      </c>
      <c r="B148" s="12" t="s">
        <v>52</v>
      </c>
      <c r="C148" s="13" t="s">
        <v>26</v>
      </c>
      <c r="D148" s="13" t="s">
        <v>24</v>
      </c>
      <c r="E148" s="14" t="n">
        <v>0</v>
      </c>
      <c r="F148" s="14" t="n">
        <v>0</v>
      </c>
      <c r="G148" s="14" t="n">
        <v>0</v>
      </c>
      <c r="H148" s="14" t="n">
        <v>0</v>
      </c>
      <c r="I148" s="14" t="n">
        <v>0</v>
      </c>
      <c r="J148" s="14" t="n">
        <v>16010</v>
      </c>
      <c r="K148" s="9" t="n">
        <f aca="false">SUM(E148:J148)</f>
        <v>16010</v>
      </c>
      <c r="L148" s="15" t="n">
        <f aca="false">IFERROR((K148-K144)/K144,0)</f>
        <v>0.139988607234406</v>
      </c>
      <c r="M148" s="11" t="s">
        <v>31</v>
      </c>
    </row>
    <row r="149" customFormat="false" ht="15" hidden="false" customHeight="false" outlineLevel="0" collapsed="false">
      <c r="A149" s="20" t="s">
        <v>59</v>
      </c>
      <c r="B149" s="6" t="s">
        <v>16</v>
      </c>
      <c r="C149" s="7" t="s">
        <v>17</v>
      </c>
      <c r="D149" s="7" t="s">
        <v>18</v>
      </c>
      <c r="E149" s="8" t="n">
        <v>64</v>
      </c>
      <c r="F149" s="8" t="n">
        <v>62</v>
      </c>
      <c r="G149" s="8" t="n">
        <v>57</v>
      </c>
      <c r="H149" s="8" t="n">
        <v>60</v>
      </c>
      <c r="I149" s="8" t="n">
        <v>66</v>
      </c>
      <c r="J149" s="8" t="n">
        <v>15</v>
      </c>
      <c r="K149" s="9" t="n">
        <f aca="false">SUM(E149:J149)</f>
        <v>324</v>
      </c>
      <c r="L149" s="10" t="s">
        <v>19</v>
      </c>
      <c r="M149" s="11" t="s">
        <v>20</v>
      </c>
    </row>
    <row r="150" customFormat="false" ht="15" hidden="false" customHeight="false" outlineLevel="0" collapsed="false">
      <c r="A150" s="20" t="s">
        <v>59</v>
      </c>
      <c r="B150" s="6" t="s">
        <v>16</v>
      </c>
      <c r="C150" s="7" t="s">
        <v>21</v>
      </c>
      <c r="D150" s="7" t="s">
        <v>18</v>
      </c>
      <c r="E150" s="8" t="n">
        <v>36</v>
      </c>
      <c r="F150" s="8" t="n">
        <v>33</v>
      </c>
      <c r="G150" s="8" t="n">
        <v>41</v>
      </c>
      <c r="H150" s="8" t="n">
        <v>37</v>
      </c>
      <c r="I150" s="8" t="n">
        <v>38</v>
      </c>
      <c r="J150" s="8" t="n">
        <v>6</v>
      </c>
      <c r="K150" s="9" t="n">
        <f aca="false">SUM(E150:J150)</f>
        <v>191</v>
      </c>
      <c r="L150" s="10" t="s">
        <v>19</v>
      </c>
      <c r="M150" s="11" t="s">
        <v>22</v>
      </c>
    </row>
    <row r="151" customFormat="false" ht="15" hidden="false" customHeight="false" outlineLevel="0" collapsed="false">
      <c r="A151" s="20" t="s">
        <v>59</v>
      </c>
      <c r="B151" s="6" t="s">
        <v>16</v>
      </c>
      <c r="C151" s="7" t="s">
        <v>23</v>
      </c>
      <c r="D151" s="7" t="s">
        <v>24</v>
      </c>
      <c r="E151" s="8" t="n">
        <v>0</v>
      </c>
      <c r="F151" s="8" t="n">
        <v>0</v>
      </c>
      <c r="G151" s="8" t="n">
        <v>0</v>
      </c>
      <c r="H151" s="8" t="n">
        <v>0</v>
      </c>
      <c r="I151" s="8" t="n">
        <v>1614</v>
      </c>
      <c r="J151" s="8" t="n">
        <v>0</v>
      </c>
      <c r="K151" s="9" t="n">
        <f aca="false">SUM(E151:J151)</f>
        <v>1614</v>
      </c>
      <c r="L151" s="10" t="s">
        <v>19</v>
      </c>
      <c r="M151" s="11" t="s">
        <v>35</v>
      </c>
    </row>
    <row r="152" customFormat="false" ht="15" hidden="false" customHeight="false" outlineLevel="0" collapsed="false">
      <c r="A152" s="20" t="s">
        <v>59</v>
      </c>
      <c r="B152" s="6" t="s">
        <v>16</v>
      </c>
      <c r="C152" s="7" t="s">
        <v>26</v>
      </c>
      <c r="D152" s="7" t="s">
        <v>24</v>
      </c>
      <c r="E152" s="8" t="n">
        <v>0</v>
      </c>
      <c r="F152" s="8" t="n">
        <v>0</v>
      </c>
      <c r="G152" s="8" t="n">
        <v>0</v>
      </c>
      <c r="H152" s="8" t="n">
        <v>0</v>
      </c>
      <c r="I152" s="8" t="n">
        <v>0</v>
      </c>
      <c r="J152" s="8" t="n">
        <v>2960</v>
      </c>
      <c r="K152" s="9" t="n">
        <f aca="false">SUM(E152:J152)</f>
        <v>2960</v>
      </c>
      <c r="L152" s="10" t="s">
        <v>19</v>
      </c>
      <c r="M152" s="11" t="s">
        <v>54</v>
      </c>
    </row>
    <row r="153" customFormat="false" ht="15" hidden="false" customHeight="false" outlineLevel="0" collapsed="false">
      <c r="A153" s="20" t="s">
        <v>59</v>
      </c>
      <c r="B153" s="12" t="s">
        <v>28</v>
      </c>
      <c r="C153" s="13" t="s">
        <v>17</v>
      </c>
      <c r="D153" s="13" t="s">
        <v>18</v>
      </c>
      <c r="E153" s="14" t="n">
        <v>66</v>
      </c>
      <c r="F153" s="14" t="n">
        <v>63</v>
      </c>
      <c r="G153" s="14" t="n">
        <v>63</v>
      </c>
      <c r="H153" s="14" t="n">
        <v>65</v>
      </c>
      <c r="I153" s="14" t="n">
        <v>66</v>
      </c>
      <c r="J153" s="14" t="n">
        <v>27</v>
      </c>
      <c r="K153" s="9" t="n">
        <f aca="false">SUM(E153:J153)</f>
        <v>350</v>
      </c>
      <c r="L153" s="15" t="n">
        <f aca="false">IFERROR((K153-K149)/K149,0)</f>
        <v>0.0802469135802469</v>
      </c>
      <c r="M153" s="11" t="s">
        <v>33</v>
      </c>
    </row>
    <row r="154" customFormat="false" ht="15" hidden="false" customHeight="false" outlineLevel="0" collapsed="false">
      <c r="A154" s="20" t="s">
        <v>59</v>
      </c>
      <c r="B154" s="12" t="s">
        <v>28</v>
      </c>
      <c r="C154" s="13" t="s">
        <v>21</v>
      </c>
      <c r="D154" s="13" t="s">
        <v>18</v>
      </c>
      <c r="E154" s="14" t="n">
        <v>40</v>
      </c>
      <c r="F154" s="14" t="n">
        <v>37</v>
      </c>
      <c r="G154" s="14" t="n">
        <v>37</v>
      </c>
      <c r="H154" s="14" t="n">
        <v>40</v>
      </c>
      <c r="I154" s="14" t="n">
        <v>39</v>
      </c>
      <c r="J154" s="14" t="n">
        <v>12</v>
      </c>
      <c r="K154" s="9" t="n">
        <f aca="false">SUM(E154:J154)</f>
        <v>205</v>
      </c>
      <c r="L154" s="15" t="n">
        <f aca="false">IFERROR((K154-K150)/K150,0)</f>
        <v>0.0732984293193717</v>
      </c>
      <c r="M154" s="11" t="s">
        <v>48</v>
      </c>
    </row>
    <row r="155" customFormat="false" ht="15" hidden="false" customHeight="false" outlineLevel="0" collapsed="false">
      <c r="A155" s="20" t="s">
        <v>59</v>
      </c>
      <c r="B155" s="12" t="s">
        <v>28</v>
      </c>
      <c r="C155" s="13" t="s">
        <v>23</v>
      </c>
      <c r="D155" s="13" t="s">
        <v>24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1958</v>
      </c>
      <c r="J155" s="14" t="n">
        <v>0</v>
      </c>
      <c r="K155" s="9" t="n">
        <f aca="false">SUM(E155:J155)</f>
        <v>1958</v>
      </c>
      <c r="L155" s="15" t="n">
        <f aca="false">IFERROR((K155-K151)/K151,0)</f>
        <v>0.213135068153656</v>
      </c>
      <c r="M155" s="11" t="s">
        <v>35</v>
      </c>
    </row>
    <row r="156" customFormat="false" ht="15" hidden="false" customHeight="false" outlineLevel="0" collapsed="false">
      <c r="A156" s="20" t="s">
        <v>59</v>
      </c>
      <c r="B156" s="12" t="s">
        <v>28</v>
      </c>
      <c r="C156" s="13" t="s">
        <v>26</v>
      </c>
      <c r="D156" s="13" t="s">
        <v>24</v>
      </c>
      <c r="E156" s="14" t="n">
        <v>0</v>
      </c>
      <c r="F156" s="14" t="n">
        <v>0</v>
      </c>
      <c r="G156" s="14" t="n">
        <v>0</v>
      </c>
      <c r="H156" s="14" t="n">
        <v>0</v>
      </c>
      <c r="I156" s="14" t="n">
        <v>0</v>
      </c>
      <c r="J156" s="14" t="n">
        <v>3594</v>
      </c>
      <c r="K156" s="9" t="n">
        <f aca="false">SUM(E156:J156)</f>
        <v>3594</v>
      </c>
      <c r="L156" s="15" t="n">
        <f aca="false">IFERROR((K156-K152)/K152,0)</f>
        <v>0.214189189189189</v>
      </c>
      <c r="M156" s="11" t="s">
        <v>54</v>
      </c>
    </row>
    <row r="157" customFormat="false" ht="15" hidden="false" customHeight="false" outlineLevel="0" collapsed="false">
      <c r="A157" s="20" t="s">
        <v>59</v>
      </c>
      <c r="B157" s="6" t="s">
        <v>32</v>
      </c>
      <c r="C157" s="7" t="s">
        <v>17</v>
      </c>
      <c r="D157" s="7" t="s">
        <v>18</v>
      </c>
      <c r="E157" s="8" t="n">
        <v>69</v>
      </c>
      <c r="F157" s="8" t="n">
        <v>64</v>
      </c>
      <c r="G157" s="8" t="n">
        <v>65</v>
      </c>
      <c r="H157" s="8" t="n">
        <v>67</v>
      </c>
      <c r="I157" s="8" t="n">
        <v>65</v>
      </c>
      <c r="J157" s="8" t="n">
        <v>40</v>
      </c>
      <c r="K157" s="9" t="n">
        <f aca="false">SUM(E157:J157)</f>
        <v>370</v>
      </c>
      <c r="L157" s="10" t="n">
        <f aca="false">IFERROR((K157-K153)/K153,0)</f>
        <v>0.0571428571428571</v>
      </c>
      <c r="M157" s="11" t="s">
        <v>53</v>
      </c>
    </row>
    <row r="158" customFormat="false" ht="15" hidden="false" customHeight="false" outlineLevel="0" collapsed="false">
      <c r="A158" s="20" t="s">
        <v>59</v>
      </c>
      <c r="B158" s="6" t="s">
        <v>32</v>
      </c>
      <c r="C158" s="7" t="s">
        <v>21</v>
      </c>
      <c r="D158" s="7" t="s">
        <v>18</v>
      </c>
      <c r="E158" s="8" t="n">
        <v>45</v>
      </c>
      <c r="F158" s="8" t="n">
        <v>41</v>
      </c>
      <c r="G158" s="8" t="n">
        <v>42</v>
      </c>
      <c r="H158" s="8" t="n">
        <v>41</v>
      </c>
      <c r="I158" s="8" t="n">
        <v>47</v>
      </c>
      <c r="J158" s="8" t="n">
        <v>20</v>
      </c>
      <c r="K158" s="9" t="n">
        <f aca="false">SUM(E158:J158)</f>
        <v>236</v>
      </c>
      <c r="L158" s="10" t="n">
        <f aca="false">IFERROR((K158-K154)/K154,0)</f>
        <v>0.151219512195122</v>
      </c>
      <c r="M158" s="11" t="s">
        <v>22</v>
      </c>
    </row>
    <row r="159" customFormat="false" ht="15" hidden="false" customHeight="false" outlineLevel="0" collapsed="false">
      <c r="A159" s="20" t="s">
        <v>59</v>
      </c>
      <c r="B159" s="6" t="s">
        <v>32</v>
      </c>
      <c r="C159" s="7" t="s">
        <v>23</v>
      </c>
      <c r="D159" s="7" t="s">
        <v>24</v>
      </c>
      <c r="E159" s="8" t="n">
        <v>0</v>
      </c>
      <c r="F159" s="8" t="n">
        <v>0</v>
      </c>
      <c r="G159" s="8" t="n">
        <v>0</v>
      </c>
      <c r="H159" s="8" t="n">
        <v>0</v>
      </c>
      <c r="I159" s="8" t="n">
        <v>2063</v>
      </c>
      <c r="J159" s="8" t="n">
        <v>0</v>
      </c>
      <c r="K159" s="9" t="n">
        <f aca="false">SUM(E159:J159)</f>
        <v>2063</v>
      </c>
      <c r="L159" s="10" t="n">
        <f aca="false">IFERROR((K159-K155)/K155,0)</f>
        <v>0.0536261491317671</v>
      </c>
      <c r="M159" s="11" t="s">
        <v>25</v>
      </c>
    </row>
    <row r="160" customFormat="false" ht="15" hidden="false" customHeight="false" outlineLevel="0" collapsed="false">
      <c r="A160" s="20" t="s">
        <v>59</v>
      </c>
      <c r="B160" s="6" t="s">
        <v>32</v>
      </c>
      <c r="C160" s="7" t="s">
        <v>26</v>
      </c>
      <c r="D160" s="7" t="s">
        <v>24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0</v>
      </c>
      <c r="J160" s="8" t="n">
        <v>4985</v>
      </c>
      <c r="K160" s="9" t="n">
        <f aca="false">SUM(E160:J160)</f>
        <v>4985</v>
      </c>
      <c r="L160" s="10" t="n">
        <f aca="false">IFERROR((K160-K156)/K156,0)</f>
        <v>0.387033945464663</v>
      </c>
      <c r="M160" s="11" t="s">
        <v>27</v>
      </c>
    </row>
    <row r="161" customFormat="false" ht="15" hidden="false" customHeight="false" outlineLevel="0" collapsed="false">
      <c r="A161" s="20" t="s">
        <v>59</v>
      </c>
      <c r="B161" s="12" t="s">
        <v>37</v>
      </c>
      <c r="C161" s="13" t="s">
        <v>17</v>
      </c>
      <c r="D161" s="13" t="s">
        <v>18</v>
      </c>
      <c r="E161" s="14" t="n">
        <v>64</v>
      </c>
      <c r="F161" s="14" t="n">
        <v>65</v>
      </c>
      <c r="G161" s="14" t="n">
        <v>61</v>
      </c>
      <c r="H161" s="14" t="n">
        <v>61</v>
      </c>
      <c r="I161" s="14" t="n">
        <v>62</v>
      </c>
      <c r="J161" s="14" t="n">
        <v>52</v>
      </c>
      <c r="K161" s="9" t="n">
        <f aca="false">SUM(E161:J161)</f>
        <v>365</v>
      </c>
      <c r="L161" s="15" t="n">
        <f aca="false">IFERROR((K161-K157)/K157,0)</f>
        <v>-0.0135135135135135</v>
      </c>
      <c r="M161" s="16"/>
    </row>
    <row r="162" customFormat="false" ht="15" hidden="false" customHeight="false" outlineLevel="0" collapsed="false">
      <c r="A162" s="20" t="s">
        <v>59</v>
      </c>
      <c r="B162" s="12" t="s">
        <v>37</v>
      </c>
      <c r="C162" s="13" t="s">
        <v>21</v>
      </c>
      <c r="D162" s="13" t="s">
        <v>18</v>
      </c>
      <c r="E162" s="14" t="n">
        <v>43</v>
      </c>
      <c r="F162" s="14" t="n">
        <v>41</v>
      </c>
      <c r="G162" s="14" t="n">
        <v>38</v>
      </c>
      <c r="H162" s="14" t="n">
        <v>39</v>
      </c>
      <c r="I162" s="14" t="n">
        <v>42</v>
      </c>
      <c r="J162" s="14" t="n">
        <v>24</v>
      </c>
      <c r="K162" s="9" t="n">
        <f aca="false">SUM(E162:J162)</f>
        <v>227</v>
      </c>
      <c r="L162" s="15" t="n">
        <f aca="false">IFERROR((K162-K158)/K158,0)</f>
        <v>-0.038135593220339</v>
      </c>
      <c r="M162" s="11" t="s">
        <v>45</v>
      </c>
    </row>
    <row r="163" customFormat="false" ht="15" hidden="false" customHeight="false" outlineLevel="0" collapsed="false">
      <c r="A163" s="20" t="s">
        <v>59</v>
      </c>
      <c r="B163" s="12" t="s">
        <v>37</v>
      </c>
      <c r="C163" s="13" t="s">
        <v>23</v>
      </c>
      <c r="D163" s="13" t="s">
        <v>24</v>
      </c>
      <c r="E163" s="14" t="n">
        <v>0</v>
      </c>
      <c r="F163" s="14" t="n">
        <v>0</v>
      </c>
      <c r="G163" s="14" t="n">
        <v>0</v>
      </c>
      <c r="H163" s="14" t="n">
        <v>0</v>
      </c>
      <c r="I163" s="14" t="n">
        <v>1952</v>
      </c>
      <c r="J163" s="14" t="n">
        <v>0</v>
      </c>
      <c r="K163" s="9" t="n">
        <f aca="false">SUM(E163:J163)</f>
        <v>1952</v>
      </c>
      <c r="L163" s="15" t="n">
        <f aca="false">IFERROR((K163-K159)/K159,0)</f>
        <v>-0.0538051381483277</v>
      </c>
      <c r="M163" s="11" t="s">
        <v>30</v>
      </c>
    </row>
    <row r="164" customFormat="false" ht="15" hidden="false" customHeight="false" outlineLevel="0" collapsed="false">
      <c r="A164" s="20" t="s">
        <v>59</v>
      </c>
      <c r="B164" s="12" t="s">
        <v>37</v>
      </c>
      <c r="C164" s="13" t="s">
        <v>26</v>
      </c>
      <c r="D164" s="13" t="s">
        <v>24</v>
      </c>
      <c r="E164" s="14" t="n">
        <v>0</v>
      </c>
      <c r="F164" s="14" t="n">
        <v>0</v>
      </c>
      <c r="G164" s="14" t="n">
        <v>0</v>
      </c>
      <c r="H164" s="14" t="n">
        <v>0</v>
      </c>
      <c r="I164" s="14" t="n">
        <v>0</v>
      </c>
      <c r="J164" s="14" t="n">
        <v>6314</v>
      </c>
      <c r="K164" s="9" t="n">
        <f aca="false">SUM(E164:J164)</f>
        <v>6314</v>
      </c>
      <c r="L164" s="15" t="n">
        <f aca="false">IFERROR((K164-K160)/K160,0)</f>
        <v>0.266599799398195</v>
      </c>
      <c r="M164" s="11" t="s">
        <v>57</v>
      </c>
    </row>
    <row r="165" customFormat="false" ht="15" hidden="false" customHeight="false" outlineLevel="0" collapsed="false">
      <c r="A165" s="20" t="s">
        <v>59</v>
      </c>
      <c r="B165" s="6" t="s">
        <v>40</v>
      </c>
      <c r="C165" s="7" t="s">
        <v>17</v>
      </c>
      <c r="D165" s="7" t="s">
        <v>18</v>
      </c>
      <c r="E165" s="8" t="n">
        <v>62</v>
      </c>
      <c r="F165" s="8" t="n">
        <v>60</v>
      </c>
      <c r="G165" s="8" t="n">
        <v>59</v>
      </c>
      <c r="H165" s="8" t="n">
        <v>59</v>
      </c>
      <c r="I165" s="8" t="n">
        <v>62</v>
      </c>
      <c r="J165" s="8" t="n">
        <v>58</v>
      </c>
      <c r="K165" s="9" t="n">
        <f aca="false">SUM(E165:J165)</f>
        <v>360</v>
      </c>
      <c r="L165" s="10" t="n">
        <f aca="false">IFERROR((K165-K161)/K161,0)</f>
        <v>-0.0136986301369863</v>
      </c>
      <c r="M165" s="11" t="s">
        <v>33</v>
      </c>
    </row>
    <row r="166" customFormat="false" ht="15" hidden="false" customHeight="false" outlineLevel="0" collapsed="false">
      <c r="A166" s="20" t="s">
        <v>59</v>
      </c>
      <c r="B166" s="6" t="s">
        <v>40</v>
      </c>
      <c r="C166" s="7" t="s">
        <v>21</v>
      </c>
      <c r="D166" s="7" t="s">
        <v>18</v>
      </c>
      <c r="E166" s="8" t="n">
        <v>39</v>
      </c>
      <c r="F166" s="8" t="n">
        <v>34</v>
      </c>
      <c r="G166" s="8" t="n">
        <v>33</v>
      </c>
      <c r="H166" s="8" t="n">
        <v>35</v>
      </c>
      <c r="I166" s="8" t="n">
        <v>39</v>
      </c>
      <c r="J166" s="8" t="n">
        <v>29</v>
      </c>
      <c r="K166" s="9" t="n">
        <f aca="false">SUM(E166:J166)</f>
        <v>209</v>
      </c>
      <c r="L166" s="10" t="n">
        <f aca="false">IFERROR((K166-K162)/K162,0)</f>
        <v>-0.079295154185022</v>
      </c>
      <c r="M166" s="11" t="s">
        <v>45</v>
      </c>
    </row>
    <row r="167" customFormat="false" ht="15" hidden="false" customHeight="false" outlineLevel="0" collapsed="false">
      <c r="A167" s="20" t="s">
        <v>59</v>
      </c>
      <c r="B167" s="6" t="s">
        <v>40</v>
      </c>
      <c r="C167" s="7" t="s">
        <v>23</v>
      </c>
      <c r="D167" s="7" t="s">
        <v>24</v>
      </c>
      <c r="E167" s="8" t="n">
        <v>0</v>
      </c>
      <c r="F167" s="8" t="n">
        <v>0</v>
      </c>
      <c r="G167" s="8" t="n">
        <v>0</v>
      </c>
      <c r="H167" s="8" t="n">
        <v>0</v>
      </c>
      <c r="I167" s="8" t="n">
        <v>1783</v>
      </c>
      <c r="J167" s="8" t="n">
        <v>0</v>
      </c>
      <c r="K167" s="9" t="n">
        <f aca="false">SUM(E167:J167)</f>
        <v>1783</v>
      </c>
      <c r="L167" s="10" t="n">
        <f aca="false">IFERROR((K167-K163)/K163,0)</f>
        <v>-0.086577868852459</v>
      </c>
      <c r="M167" s="11" t="s">
        <v>38</v>
      </c>
    </row>
    <row r="168" customFormat="false" ht="15" hidden="false" customHeight="false" outlineLevel="0" collapsed="false">
      <c r="A168" s="20" t="s">
        <v>59</v>
      </c>
      <c r="B168" s="6" t="s">
        <v>40</v>
      </c>
      <c r="C168" s="7" t="s">
        <v>26</v>
      </c>
      <c r="D168" s="7" t="s">
        <v>24</v>
      </c>
      <c r="E168" s="8" t="n">
        <v>0</v>
      </c>
      <c r="F168" s="8" t="n">
        <v>0</v>
      </c>
      <c r="G168" s="8" t="n">
        <v>0</v>
      </c>
      <c r="H168" s="8" t="n">
        <v>0</v>
      </c>
      <c r="I168" s="8" t="n">
        <v>0</v>
      </c>
      <c r="J168" s="8" t="n">
        <v>7676</v>
      </c>
      <c r="K168" s="9" t="n">
        <f aca="false">SUM(E168:J168)</f>
        <v>7676</v>
      </c>
      <c r="L168" s="10" t="n">
        <f aca="false">IFERROR((K168-K164)/K164,0)</f>
        <v>0.215711118150143</v>
      </c>
      <c r="M168" s="11" t="s">
        <v>54</v>
      </c>
    </row>
    <row r="169" customFormat="false" ht="15" hidden="false" customHeight="false" outlineLevel="0" collapsed="false">
      <c r="A169" s="20" t="s">
        <v>59</v>
      </c>
      <c r="B169" s="12" t="s">
        <v>41</v>
      </c>
      <c r="C169" s="13" t="s">
        <v>17</v>
      </c>
      <c r="D169" s="13" t="s">
        <v>18</v>
      </c>
      <c r="E169" s="14" t="n">
        <v>65</v>
      </c>
      <c r="F169" s="14" t="n">
        <v>63</v>
      </c>
      <c r="G169" s="14" t="n">
        <v>62</v>
      </c>
      <c r="H169" s="14" t="n">
        <v>63</v>
      </c>
      <c r="I169" s="14" t="n">
        <v>60</v>
      </c>
      <c r="J169" s="14" t="n">
        <v>64</v>
      </c>
      <c r="K169" s="9" t="n">
        <f aca="false">SUM(E169:J169)</f>
        <v>377</v>
      </c>
      <c r="L169" s="15" t="n">
        <f aca="false">IFERROR((K169-K165)/K165,0)</f>
        <v>0.0472222222222222</v>
      </c>
      <c r="M169" s="11" t="s">
        <v>33</v>
      </c>
    </row>
    <row r="170" customFormat="false" ht="15" hidden="false" customHeight="false" outlineLevel="0" collapsed="false">
      <c r="A170" s="20" t="s">
        <v>59</v>
      </c>
      <c r="B170" s="12" t="s">
        <v>41</v>
      </c>
      <c r="C170" s="13" t="s">
        <v>21</v>
      </c>
      <c r="D170" s="13" t="s">
        <v>18</v>
      </c>
      <c r="E170" s="14" t="n">
        <v>35</v>
      </c>
      <c r="F170" s="14" t="n">
        <v>31</v>
      </c>
      <c r="G170" s="14" t="n">
        <v>31</v>
      </c>
      <c r="H170" s="14" t="n">
        <v>31</v>
      </c>
      <c r="I170" s="14" t="n">
        <v>33</v>
      </c>
      <c r="J170" s="14" t="n">
        <v>37</v>
      </c>
      <c r="K170" s="9" t="n">
        <f aca="false">SUM(E170:J170)</f>
        <v>198</v>
      </c>
      <c r="L170" s="15" t="n">
        <f aca="false">IFERROR((K170-K166)/K166,0)</f>
        <v>-0.0526315789473684</v>
      </c>
      <c r="M170" s="16"/>
    </row>
    <row r="171" customFormat="false" ht="15" hidden="false" customHeight="false" outlineLevel="0" collapsed="false">
      <c r="A171" s="20" t="s">
        <v>59</v>
      </c>
      <c r="B171" s="12" t="s">
        <v>41</v>
      </c>
      <c r="C171" s="13" t="s">
        <v>23</v>
      </c>
      <c r="D171" s="13" t="s">
        <v>24</v>
      </c>
      <c r="E171" s="14" t="n">
        <v>0</v>
      </c>
      <c r="F171" s="14" t="n">
        <v>0</v>
      </c>
      <c r="G171" s="14" t="n">
        <v>0</v>
      </c>
      <c r="H171" s="14" t="n">
        <v>0</v>
      </c>
      <c r="I171" s="14" t="n">
        <v>1633</v>
      </c>
      <c r="J171" s="14" t="n">
        <v>0</v>
      </c>
      <c r="K171" s="9" t="n">
        <f aca="false">SUM(E171:J171)</f>
        <v>1633</v>
      </c>
      <c r="L171" s="15" t="n">
        <f aca="false">IFERROR((K171-K167)/K167,0)</f>
        <v>-0.0841278743690409</v>
      </c>
      <c r="M171" s="11" t="s">
        <v>30</v>
      </c>
    </row>
    <row r="172" customFormat="false" ht="15" hidden="false" customHeight="false" outlineLevel="0" collapsed="false">
      <c r="A172" s="20" t="s">
        <v>59</v>
      </c>
      <c r="B172" s="12" t="s">
        <v>41</v>
      </c>
      <c r="C172" s="13" t="s">
        <v>26</v>
      </c>
      <c r="D172" s="13" t="s">
        <v>24</v>
      </c>
      <c r="E172" s="14" t="n">
        <v>0</v>
      </c>
      <c r="F172" s="14" t="n">
        <v>0</v>
      </c>
      <c r="G172" s="14" t="n">
        <v>0</v>
      </c>
      <c r="H172" s="14" t="n">
        <v>0</v>
      </c>
      <c r="I172" s="14" t="n">
        <v>0</v>
      </c>
      <c r="J172" s="14" t="n">
        <v>8343</v>
      </c>
      <c r="K172" s="9" t="n">
        <f aca="false">SUM(E172:J172)</f>
        <v>8343</v>
      </c>
      <c r="L172" s="15" t="n">
        <f aca="false">IFERROR((K172-K168)/K168,0)</f>
        <v>0.0868942157373632</v>
      </c>
      <c r="M172" s="11" t="s">
        <v>57</v>
      </c>
    </row>
    <row r="173" customFormat="false" ht="15" hidden="false" customHeight="false" outlineLevel="0" collapsed="false">
      <c r="A173" s="20" t="s">
        <v>59</v>
      </c>
      <c r="B173" s="6" t="s">
        <v>44</v>
      </c>
      <c r="C173" s="7" t="s">
        <v>17</v>
      </c>
      <c r="D173" s="7" t="s">
        <v>18</v>
      </c>
      <c r="E173" s="8" t="n">
        <v>68</v>
      </c>
      <c r="F173" s="8" t="n">
        <v>66</v>
      </c>
      <c r="G173" s="8" t="n">
        <v>61</v>
      </c>
      <c r="H173" s="8" t="n">
        <v>69</v>
      </c>
      <c r="I173" s="8" t="n">
        <v>67</v>
      </c>
      <c r="J173" s="8" t="n">
        <v>66</v>
      </c>
      <c r="K173" s="9" t="n">
        <f aca="false">SUM(E173:J173)</f>
        <v>397</v>
      </c>
      <c r="L173" s="10" t="n">
        <f aca="false">IFERROR((K173-K169)/K169,0)</f>
        <v>0.0530503978779841</v>
      </c>
      <c r="M173" s="11" t="s">
        <v>53</v>
      </c>
    </row>
    <row r="174" customFormat="false" ht="15" hidden="false" customHeight="false" outlineLevel="0" collapsed="false">
      <c r="A174" s="20" t="s">
        <v>59</v>
      </c>
      <c r="B174" s="6" t="s">
        <v>44</v>
      </c>
      <c r="C174" s="7" t="s">
        <v>21</v>
      </c>
      <c r="D174" s="7" t="s">
        <v>18</v>
      </c>
      <c r="E174" s="8" t="n">
        <v>63</v>
      </c>
      <c r="F174" s="8" t="n">
        <v>62</v>
      </c>
      <c r="G174" s="8" t="n">
        <v>60</v>
      </c>
      <c r="H174" s="8" t="n">
        <v>61</v>
      </c>
      <c r="I174" s="8" t="n">
        <v>63</v>
      </c>
      <c r="J174" s="8" t="n">
        <v>67</v>
      </c>
      <c r="K174" s="9" t="n">
        <f aca="false">SUM(E174:J174)</f>
        <v>376</v>
      </c>
      <c r="L174" s="10" t="n">
        <f aca="false">IFERROR((K174-K170)/K170,0)</f>
        <v>0.898989898989899</v>
      </c>
      <c r="M174" s="11" t="s">
        <v>42</v>
      </c>
    </row>
    <row r="175" customFormat="false" ht="15" hidden="false" customHeight="false" outlineLevel="0" collapsed="false">
      <c r="A175" s="20" t="s">
        <v>59</v>
      </c>
      <c r="B175" s="6" t="s">
        <v>44</v>
      </c>
      <c r="C175" s="7" t="s">
        <v>23</v>
      </c>
      <c r="D175" s="7" t="s">
        <v>24</v>
      </c>
      <c r="E175" s="8" t="n">
        <v>0</v>
      </c>
      <c r="F175" s="8" t="n">
        <v>0</v>
      </c>
      <c r="G175" s="8" t="n">
        <v>0</v>
      </c>
      <c r="H175" s="8" t="n">
        <v>0</v>
      </c>
      <c r="I175" s="8" t="n">
        <v>2108</v>
      </c>
      <c r="J175" s="8" t="n">
        <v>0</v>
      </c>
      <c r="K175" s="9" t="n">
        <f aca="false">SUM(E175:J175)</f>
        <v>2108</v>
      </c>
      <c r="L175" s="10" t="n">
        <f aca="false">IFERROR((K175-K171)/K171,0)</f>
        <v>0.290875688916105</v>
      </c>
      <c r="M175" s="11" t="s">
        <v>35</v>
      </c>
    </row>
    <row r="176" customFormat="false" ht="15" hidden="false" customHeight="false" outlineLevel="0" collapsed="false">
      <c r="A176" s="20" t="s">
        <v>59</v>
      </c>
      <c r="B176" s="6" t="s">
        <v>44</v>
      </c>
      <c r="C176" s="7" t="s">
        <v>26</v>
      </c>
      <c r="D176" s="7" t="s">
        <v>24</v>
      </c>
      <c r="E176" s="8" t="n">
        <v>0</v>
      </c>
      <c r="F176" s="8" t="n">
        <v>0</v>
      </c>
      <c r="G176" s="8" t="n">
        <v>0</v>
      </c>
      <c r="H176" s="8" t="n">
        <v>0</v>
      </c>
      <c r="I176" s="8" t="n">
        <v>0</v>
      </c>
      <c r="J176" s="8" t="n">
        <v>9466</v>
      </c>
      <c r="K176" s="9" t="n">
        <f aca="false">SUM(E176:J176)</f>
        <v>9466</v>
      </c>
      <c r="L176" s="10" t="n">
        <f aca="false">IFERROR((K176-K172)/K172,0)</f>
        <v>0.134603859522953</v>
      </c>
      <c r="M176" s="11" t="s">
        <v>27</v>
      </c>
    </row>
    <row r="177" customFormat="false" ht="15" hidden="false" customHeight="false" outlineLevel="0" collapsed="false">
      <c r="A177" s="20" t="s">
        <v>59</v>
      </c>
      <c r="B177" s="12" t="s">
        <v>46</v>
      </c>
      <c r="C177" s="13" t="s">
        <v>17</v>
      </c>
      <c r="D177" s="13" t="s">
        <v>18</v>
      </c>
      <c r="E177" s="14" t="n">
        <v>59</v>
      </c>
      <c r="F177" s="14" t="n">
        <v>61</v>
      </c>
      <c r="G177" s="14" t="n">
        <v>55</v>
      </c>
      <c r="H177" s="14" t="n">
        <v>58</v>
      </c>
      <c r="I177" s="14" t="n">
        <v>58</v>
      </c>
      <c r="J177" s="14" t="n">
        <v>61</v>
      </c>
      <c r="K177" s="9" t="n">
        <f aca="false">SUM(E177:J177)</f>
        <v>352</v>
      </c>
      <c r="L177" s="15" t="n">
        <f aca="false">IFERROR((K177-K173)/K173,0)</f>
        <v>-0.113350125944584</v>
      </c>
      <c r="M177" s="11" t="s">
        <v>20</v>
      </c>
    </row>
    <row r="178" customFormat="false" ht="15" hidden="false" customHeight="false" outlineLevel="0" collapsed="false">
      <c r="A178" s="20" t="s">
        <v>59</v>
      </c>
      <c r="B178" s="12" t="s">
        <v>46</v>
      </c>
      <c r="C178" s="13" t="s">
        <v>21</v>
      </c>
      <c r="D178" s="13" t="s">
        <v>18</v>
      </c>
      <c r="E178" s="14" t="n">
        <v>73</v>
      </c>
      <c r="F178" s="14" t="n">
        <v>68</v>
      </c>
      <c r="G178" s="14" t="n">
        <v>68</v>
      </c>
      <c r="H178" s="14" t="n">
        <v>69</v>
      </c>
      <c r="I178" s="14" t="n">
        <v>73</v>
      </c>
      <c r="J178" s="14" t="n">
        <v>74</v>
      </c>
      <c r="K178" s="9" t="n">
        <f aca="false">SUM(E178:J178)</f>
        <v>425</v>
      </c>
      <c r="L178" s="15" t="n">
        <f aca="false">IFERROR((K178-K174)/K174,0)</f>
        <v>0.13031914893617</v>
      </c>
      <c r="M178" s="11" t="s">
        <v>42</v>
      </c>
    </row>
    <row r="179" customFormat="false" ht="15" hidden="false" customHeight="false" outlineLevel="0" collapsed="false">
      <c r="A179" s="20" t="s">
        <v>59</v>
      </c>
      <c r="B179" s="12" t="s">
        <v>46</v>
      </c>
      <c r="C179" s="13" t="s">
        <v>23</v>
      </c>
      <c r="D179" s="13" t="s">
        <v>24</v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2344</v>
      </c>
      <c r="J179" s="14" t="n">
        <v>0</v>
      </c>
      <c r="K179" s="9" t="n">
        <f aca="false">SUM(E179:J179)</f>
        <v>2344</v>
      </c>
      <c r="L179" s="15" t="n">
        <f aca="false">IFERROR((K179-K175)/K175,0)</f>
        <v>0.111954459203036</v>
      </c>
      <c r="M179" s="11" t="s">
        <v>25</v>
      </c>
    </row>
    <row r="180" customFormat="false" ht="15" hidden="false" customHeight="false" outlineLevel="0" collapsed="false">
      <c r="A180" s="20" t="s">
        <v>59</v>
      </c>
      <c r="B180" s="12" t="s">
        <v>46</v>
      </c>
      <c r="C180" s="13" t="s">
        <v>26</v>
      </c>
      <c r="D180" s="13" t="s">
        <v>24</v>
      </c>
      <c r="E180" s="14" t="n">
        <v>0</v>
      </c>
      <c r="F180" s="14" t="n">
        <v>0</v>
      </c>
      <c r="G180" s="14" t="n">
        <v>0</v>
      </c>
      <c r="H180" s="14" t="n">
        <v>0</v>
      </c>
      <c r="I180" s="14" t="n">
        <v>0</v>
      </c>
      <c r="J180" s="14" t="n">
        <v>9504</v>
      </c>
      <c r="K180" s="9" t="n">
        <f aca="false">SUM(E180:J180)</f>
        <v>9504</v>
      </c>
      <c r="L180" s="15" t="n">
        <f aca="false">IFERROR((K180-K176)/K176,0)</f>
        <v>0.00401436720895838</v>
      </c>
      <c r="M180" s="11" t="s">
        <v>31</v>
      </c>
    </row>
    <row r="181" customFormat="false" ht="15" hidden="false" customHeight="false" outlineLevel="0" collapsed="false">
      <c r="A181" s="20" t="s">
        <v>59</v>
      </c>
      <c r="B181" s="6" t="s">
        <v>47</v>
      </c>
      <c r="C181" s="7" t="s">
        <v>17</v>
      </c>
      <c r="D181" s="7" t="s">
        <v>18</v>
      </c>
      <c r="E181" s="8" t="n">
        <v>63</v>
      </c>
      <c r="F181" s="8" t="n">
        <v>60</v>
      </c>
      <c r="G181" s="8" t="n">
        <v>61</v>
      </c>
      <c r="H181" s="8" t="n">
        <v>61</v>
      </c>
      <c r="I181" s="8" t="n">
        <v>62</v>
      </c>
      <c r="J181" s="8" t="n">
        <v>66</v>
      </c>
      <c r="K181" s="9" t="n">
        <f aca="false">SUM(E181:J181)</f>
        <v>373</v>
      </c>
      <c r="L181" s="10" t="n">
        <f aca="false">IFERROR((K181-K177)/K177,0)</f>
        <v>0.0596590909090909</v>
      </c>
      <c r="M181" s="11" t="s">
        <v>51</v>
      </c>
    </row>
    <row r="182" customFormat="false" ht="15" hidden="false" customHeight="false" outlineLevel="0" collapsed="false">
      <c r="A182" s="20" t="s">
        <v>59</v>
      </c>
      <c r="B182" s="6" t="s">
        <v>47</v>
      </c>
      <c r="C182" s="7" t="s">
        <v>21</v>
      </c>
      <c r="D182" s="7" t="s">
        <v>18</v>
      </c>
      <c r="E182" s="8" t="n">
        <v>47</v>
      </c>
      <c r="F182" s="8" t="n">
        <v>48</v>
      </c>
      <c r="G182" s="8" t="n">
        <v>41</v>
      </c>
      <c r="H182" s="8" t="n">
        <v>45</v>
      </c>
      <c r="I182" s="8" t="n">
        <v>51</v>
      </c>
      <c r="J182" s="8" t="n">
        <v>54</v>
      </c>
      <c r="K182" s="9" t="n">
        <f aca="false">SUM(E182:J182)</f>
        <v>286</v>
      </c>
      <c r="L182" s="10" t="n">
        <f aca="false">IFERROR((K182-K178)/K178,0)</f>
        <v>-0.327058823529412</v>
      </c>
      <c r="M182" s="11" t="s">
        <v>48</v>
      </c>
    </row>
    <row r="183" customFormat="false" ht="15" hidden="false" customHeight="false" outlineLevel="0" collapsed="false">
      <c r="A183" s="20" t="s">
        <v>59</v>
      </c>
      <c r="B183" s="6" t="s">
        <v>47</v>
      </c>
      <c r="C183" s="7" t="s">
        <v>23</v>
      </c>
      <c r="D183" s="7" t="s">
        <v>24</v>
      </c>
      <c r="E183" s="8" t="n">
        <v>0</v>
      </c>
      <c r="F183" s="8" t="n">
        <v>0</v>
      </c>
      <c r="G183" s="8" t="n">
        <v>0</v>
      </c>
      <c r="H183" s="8" t="n">
        <v>0</v>
      </c>
      <c r="I183" s="8" t="n">
        <v>1903</v>
      </c>
      <c r="J183" s="8" t="n">
        <v>0</v>
      </c>
      <c r="K183" s="9" t="n">
        <f aca="false">SUM(E183:J183)</f>
        <v>1903</v>
      </c>
      <c r="L183" s="10" t="n">
        <f aca="false">IFERROR((K183-K179)/K179,0)</f>
        <v>-0.188139931740614</v>
      </c>
      <c r="M183" s="11" t="s">
        <v>25</v>
      </c>
    </row>
    <row r="184" customFormat="false" ht="15" hidden="false" customHeight="false" outlineLevel="0" collapsed="false">
      <c r="A184" s="20" t="s">
        <v>59</v>
      </c>
      <c r="B184" s="6" t="s">
        <v>47</v>
      </c>
      <c r="C184" s="7" t="s">
        <v>26</v>
      </c>
      <c r="D184" s="7" t="s">
        <v>24</v>
      </c>
      <c r="E184" s="8" t="n">
        <v>0</v>
      </c>
      <c r="F184" s="8" t="n">
        <v>0</v>
      </c>
      <c r="G184" s="8" t="n">
        <v>0</v>
      </c>
      <c r="H184" s="8" t="n">
        <v>0</v>
      </c>
      <c r="I184" s="8" t="n">
        <v>0</v>
      </c>
      <c r="J184" s="8" t="n">
        <v>11448</v>
      </c>
      <c r="K184" s="9" t="n">
        <f aca="false">SUM(E184:J184)</f>
        <v>11448</v>
      </c>
      <c r="L184" s="10" t="n">
        <f aca="false">IFERROR((K184-K180)/K180,0)</f>
        <v>0.204545454545455</v>
      </c>
      <c r="M184" s="11" t="s">
        <v>54</v>
      </c>
    </row>
    <row r="185" customFormat="false" ht="15" hidden="false" customHeight="false" outlineLevel="0" collapsed="false">
      <c r="A185" s="20" t="s">
        <v>59</v>
      </c>
      <c r="B185" s="12" t="s">
        <v>49</v>
      </c>
      <c r="C185" s="13" t="s">
        <v>17</v>
      </c>
      <c r="D185" s="13" t="s">
        <v>18</v>
      </c>
      <c r="E185" s="14" t="n">
        <v>68</v>
      </c>
      <c r="F185" s="14" t="n">
        <v>66</v>
      </c>
      <c r="G185" s="14" t="n">
        <v>62</v>
      </c>
      <c r="H185" s="14" t="n">
        <v>70</v>
      </c>
      <c r="I185" s="14" t="n">
        <v>67</v>
      </c>
      <c r="J185" s="14" t="n">
        <v>68</v>
      </c>
      <c r="K185" s="9" t="n">
        <f aca="false">SUM(E185:J185)</f>
        <v>401</v>
      </c>
      <c r="L185" s="15" t="n">
        <f aca="false">IFERROR((K185-K181)/K181,0)</f>
        <v>0.0750670241286863</v>
      </c>
      <c r="M185" s="11" t="s">
        <v>53</v>
      </c>
    </row>
    <row r="186" customFormat="false" ht="15" hidden="false" customHeight="false" outlineLevel="0" collapsed="false">
      <c r="A186" s="20" t="s">
        <v>59</v>
      </c>
      <c r="B186" s="12" t="s">
        <v>49</v>
      </c>
      <c r="C186" s="13" t="s">
        <v>21</v>
      </c>
      <c r="D186" s="13" t="s">
        <v>18</v>
      </c>
      <c r="E186" s="14" t="n">
        <v>33</v>
      </c>
      <c r="F186" s="14" t="n">
        <v>32</v>
      </c>
      <c r="G186" s="14" t="n">
        <v>30</v>
      </c>
      <c r="H186" s="14" t="n">
        <v>31</v>
      </c>
      <c r="I186" s="14" t="n">
        <v>35</v>
      </c>
      <c r="J186" s="14" t="n">
        <v>37</v>
      </c>
      <c r="K186" s="9" t="n">
        <f aca="false">SUM(E186:J186)</f>
        <v>198</v>
      </c>
      <c r="L186" s="15" t="n">
        <f aca="false">IFERROR((K186-K182)/K182,0)</f>
        <v>-0.307692307692308</v>
      </c>
      <c r="M186" s="11" t="s">
        <v>42</v>
      </c>
    </row>
    <row r="187" customFormat="false" ht="15" hidden="false" customHeight="false" outlineLevel="0" collapsed="false">
      <c r="A187" s="20" t="s">
        <v>59</v>
      </c>
      <c r="B187" s="12" t="s">
        <v>49</v>
      </c>
      <c r="C187" s="13" t="s">
        <v>23</v>
      </c>
      <c r="D187" s="13" t="s">
        <v>24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2121</v>
      </c>
      <c r="J187" s="14" t="n">
        <v>0</v>
      </c>
      <c r="K187" s="9" t="n">
        <f aca="false">SUM(E187:J187)</f>
        <v>2121</v>
      </c>
      <c r="L187" s="15" t="n">
        <f aca="false">IFERROR((K187-K183)/K183,0)</f>
        <v>0.114555964266947</v>
      </c>
      <c r="M187" s="11" t="s">
        <v>38</v>
      </c>
    </row>
    <row r="188" customFormat="false" ht="15" hidden="false" customHeight="false" outlineLevel="0" collapsed="false">
      <c r="A188" s="20" t="s">
        <v>59</v>
      </c>
      <c r="B188" s="12" t="s">
        <v>49</v>
      </c>
      <c r="C188" s="13" t="s">
        <v>26</v>
      </c>
      <c r="D188" s="13" t="s">
        <v>24</v>
      </c>
      <c r="E188" s="14" t="n">
        <v>0</v>
      </c>
      <c r="F188" s="14" t="n">
        <v>0</v>
      </c>
      <c r="G188" s="14" t="n">
        <v>0</v>
      </c>
      <c r="H188" s="14" t="n">
        <v>0</v>
      </c>
      <c r="I188" s="14" t="n">
        <v>0</v>
      </c>
      <c r="J188" s="14" t="n">
        <v>11789</v>
      </c>
      <c r="K188" s="9" t="n">
        <f aca="false">SUM(E188:J188)</f>
        <v>11789</v>
      </c>
      <c r="L188" s="15" t="n">
        <f aca="false">IFERROR((K188-K184)/K184,0)</f>
        <v>0.0297868623340321</v>
      </c>
      <c r="M188" s="11" t="s">
        <v>31</v>
      </c>
    </row>
    <row r="189" customFormat="false" ht="15" hidden="false" customHeight="false" outlineLevel="0" collapsed="false">
      <c r="A189" s="20" t="s">
        <v>59</v>
      </c>
      <c r="B189" s="6" t="s">
        <v>50</v>
      </c>
      <c r="C189" s="7" t="s">
        <v>17</v>
      </c>
      <c r="D189" s="7" t="s">
        <v>18</v>
      </c>
      <c r="E189" s="8" t="n">
        <v>74</v>
      </c>
      <c r="F189" s="8" t="n">
        <v>70</v>
      </c>
      <c r="G189" s="8" t="n">
        <v>69</v>
      </c>
      <c r="H189" s="8" t="n">
        <v>71</v>
      </c>
      <c r="I189" s="8" t="n">
        <v>71</v>
      </c>
      <c r="J189" s="8" t="n">
        <v>74</v>
      </c>
      <c r="K189" s="9" t="n">
        <f aca="false">SUM(E189:J189)</f>
        <v>429</v>
      </c>
      <c r="L189" s="10" t="n">
        <f aca="false">IFERROR((K189-K185)/K185,0)</f>
        <v>0.0698254364089776</v>
      </c>
      <c r="M189" s="11" t="s">
        <v>53</v>
      </c>
    </row>
    <row r="190" customFormat="false" ht="15" hidden="false" customHeight="false" outlineLevel="0" collapsed="false">
      <c r="A190" s="20" t="s">
        <v>59</v>
      </c>
      <c r="B190" s="6" t="s">
        <v>50</v>
      </c>
      <c r="C190" s="7" t="s">
        <v>21</v>
      </c>
      <c r="D190" s="7" t="s">
        <v>18</v>
      </c>
      <c r="E190" s="8" t="n">
        <v>46</v>
      </c>
      <c r="F190" s="8" t="n">
        <v>42</v>
      </c>
      <c r="G190" s="8" t="n">
        <v>40</v>
      </c>
      <c r="H190" s="8" t="n">
        <v>46</v>
      </c>
      <c r="I190" s="8" t="n">
        <v>47</v>
      </c>
      <c r="J190" s="8" t="n">
        <v>51</v>
      </c>
      <c r="K190" s="9" t="n">
        <f aca="false">SUM(E190:J190)</f>
        <v>272</v>
      </c>
      <c r="L190" s="10" t="n">
        <f aca="false">IFERROR((K190-K186)/K186,0)</f>
        <v>0.373737373737374</v>
      </c>
      <c r="M190" s="17"/>
    </row>
    <row r="191" customFormat="false" ht="15" hidden="false" customHeight="false" outlineLevel="0" collapsed="false">
      <c r="A191" s="20" t="s">
        <v>59</v>
      </c>
      <c r="B191" s="6" t="s">
        <v>50</v>
      </c>
      <c r="C191" s="7" t="s">
        <v>23</v>
      </c>
      <c r="D191" s="7" t="s">
        <v>24</v>
      </c>
      <c r="E191" s="8" t="n">
        <v>0</v>
      </c>
      <c r="F191" s="8" t="n">
        <v>0</v>
      </c>
      <c r="G191" s="8" t="n">
        <v>0</v>
      </c>
      <c r="H191" s="8" t="n">
        <v>0</v>
      </c>
      <c r="I191" s="8" t="n">
        <v>2222</v>
      </c>
      <c r="J191" s="8" t="n">
        <v>0</v>
      </c>
      <c r="K191" s="9" t="n">
        <f aca="false">SUM(E191:J191)</f>
        <v>2222</v>
      </c>
      <c r="L191" s="10" t="n">
        <f aca="false">IFERROR((K191-K187)/K187,0)</f>
        <v>0.0476190476190476</v>
      </c>
      <c r="M191" s="11" t="s">
        <v>43</v>
      </c>
    </row>
    <row r="192" customFormat="false" ht="15" hidden="false" customHeight="false" outlineLevel="0" collapsed="false">
      <c r="A192" s="20" t="s">
        <v>59</v>
      </c>
      <c r="B192" s="6" t="s">
        <v>50</v>
      </c>
      <c r="C192" s="7" t="s">
        <v>26</v>
      </c>
      <c r="D192" s="7" t="s">
        <v>24</v>
      </c>
      <c r="E192" s="8" t="n">
        <v>0</v>
      </c>
      <c r="F192" s="8" t="n">
        <v>0</v>
      </c>
      <c r="G192" s="8" t="n">
        <v>0</v>
      </c>
      <c r="H192" s="8" t="n">
        <v>0</v>
      </c>
      <c r="I192" s="8" t="n">
        <v>0</v>
      </c>
      <c r="J192" s="8" t="n">
        <v>11876</v>
      </c>
      <c r="K192" s="9" t="n">
        <f aca="false">SUM(E192:J192)</f>
        <v>11876</v>
      </c>
      <c r="L192" s="10" t="n">
        <f aca="false">IFERROR((K192-K188)/K188,0)</f>
        <v>0.00737976079396047</v>
      </c>
      <c r="M192" s="11" t="s">
        <v>39</v>
      </c>
    </row>
    <row r="193" customFormat="false" ht="15" hidden="false" customHeight="false" outlineLevel="0" collapsed="false">
      <c r="A193" s="20" t="s">
        <v>59</v>
      </c>
      <c r="B193" s="12" t="s">
        <v>52</v>
      </c>
      <c r="C193" s="13" t="s">
        <v>17</v>
      </c>
      <c r="D193" s="13" t="s">
        <v>18</v>
      </c>
      <c r="E193" s="14" t="n">
        <v>76</v>
      </c>
      <c r="F193" s="14" t="n">
        <v>72</v>
      </c>
      <c r="G193" s="14" t="n">
        <v>68</v>
      </c>
      <c r="H193" s="14" t="n">
        <v>73</v>
      </c>
      <c r="I193" s="14" t="n">
        <v>71</v>
      </c>
      <c r="J193" s="14" t="n">
        <v>79</v>
      </c>
      <c r="K193" s="9" t="n">
        <f aca="false">SUM(E193:J193)</f>
        <v>439</v>
      </c>
      <c r="L193" s="15" t="n">
        <f aca="false">IFERROR((K193-K189)/K189,0)</f>
        <v>0.0233100233100233</v>
      </c>
      <c r="M193" s="11" t="s">
        <v>29</v>
      </c>
    </row>
    <row r="194" customFormat="false" ht="15" hidden="false" customHeight="false" outlineLevel="0" collapsed="false">
      <c r="A194" s="20" t="s">
        <v>59</v>
      </c>
      <c r="B194" s="12" t="s">
        <v>52</v>
      </c>
      <c r="C194" s="13" t="s">
        <v>21</v>
      </c>
      <c r="D194" s="13" t="s">
        <v>18</v>
      </c>
      <c r="E194" s="14" t="n">
        <v>64</v>
      </c>
      <c r="F194" s="14" t="n">
        <v>67</v>
      </c>
      <c r="G194" s="14" t="n">
        <v>59</v>
      </c>
      <c r="H194" s="14" t="n">
        <v>67</v>
      </c>
      <c r="I194" s="14" t="n">
        <v>67</v>
      </c>
      <c r="J194" s="14" t="n">
        <v>71</v>
      </c>
      <c r="K194" s="9" t="n">
        <f aca="false">SUM(E194:J194)</f>
        <v>395</v>
      </c>
      <c r="L194" s="15" t="n">
        <f aca="false">IFERROR((K194-K190)/K190,0)</f>
        <v>0.452205882352941</v>
      </c>
      <c r="M194" s="11" t="s">
        <v>22</v>
      </c>
    </row>
    <row r="195" customFormat="false" ht="15" hidden="false" customHeight="false" outlineLevel="0" collapsed="false">
      <c r="A195" s="20" t="s">
        <v>59</v>
      </c>
      <c r="B195" s="12" t="s">
        <v>52</v>
      </c>
      <c r="C195" s="13" t="s">
        <v>23</v>
      </c>
      <c r="D195" s="13" t="s">
        <v>24</v>
      </c>
      <c r="E195" s="14" t="n">
        <v>0</v>
      </c>
      <c r="F195" s="14" t="n">
        <v>0</v>
      </c>
      <c r="G195" s="14" t="n">
        <v>0</v>
      </c>
      <c r="H195" s="14" t="n">
        <v>0</v>
      </c>
      <c r="I195" s="14" t="n">
        <v>2423</v>
      </c>
      <c r="J195" s="14" t="n">
        <v>0</v>
      </c>
      <c r="K195" s="9" t="n">
        <f aca="false">SUM(E195:J195)</f>
        <v>2423</v>
      </c>
      <c r="L195" s="15" t="n">
        <f aca="false">IFERROR((K195-K191)/K191,0)</f>
        <v>0.0904590459045905</v>
      </c>
      <c r="M195" s="11" t="s">
        <v>35</v>
      </c>
    </row>
    <row r="196" customFormat="false" ht="15" hidden="false" customHeight="false" outlineLevel="0" collapsed="false">
      <c r="A196" s="20" t="s">
        <v>59</v>
      </c>
      <c r="B196" s="12" t="s">
        <v>52</v>
      </c>
      <c r="C196" s="13" t="s">
        <v>26</v>
      </c>
      <c r="D196" s="13" t="s">
        <v>24</v>
      </c>
      <c r="E196" s="14" t="n">
        <v>0</v>
      </c>
      <c r="F196" s="14" t="n">
        <v>0</v>
      </c>
      <c r="G196" s="14" t="n">
        <v>0</v>
      </c>
      <c r="H196" s="14" t="n">
        <v>0</v>
      </c>
      <c r="I196" s="14" t="n">
        <v>0</v>
      </c>
      <c r="J196" s="14" t="n">
        <v>11953</v>
      </c>
      <c r="K196" s="9" t="n">
        <f aca="false">SUM(E196:J196)</f>
        <v>11953</v>
      </c>
      <c r="L196" s="15" t="n">
        <f aca="false">IFERROR((K196-K192)/K192,0)</f>
        <v>0.00648366453351297</v>
      </c>
      <c r="M196" s="11" t="s">
        <v>27</v>
      </c>
    </row>
  </sheetData>
  <mergeCells count="2">
    <mergeCell ref="A1:M1"/>
    <mergeCell ref="A2:M2"/>
  </mergeCells>
  <conditionalFormatting sqref="K5:K196">
    <cfRule type="colorScale" priority="2">
      <colorScale>
        <cfvo type="min" val="0"/>
        <cfvo type="percentile" val="50"/>
        <cfvo type="max" val="0"/>
        <color rgb="FFB2EBF2"/>
        <color rgb="FF4DD0E1"/>
        <color rgb="FF006064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CC1"/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8"/>
    <col collapsed="false" customWidth="true" hidden="false" outlineLevel="0" max="6" min="6" style="0" width="16"/>
    <col collapsed="false" customWidth="true" hidden="false" outlineLevel="0" max="7" min="7" style="0" width="28"/>
  </cols>
  <sheetData>
    <row r="1" customFormat="false" ht="36" hidden="false" customHeight="true" outlineLevel="0" collapsed="false">
      <c r="A1" s="21" t="s">
        <v>60</v>
      </c>
      <c r="B1" s="21"/>
      <c r="C1" s="21"/>
      <c r="D1" s="21"/>
      <c r="E1" s="21"/>
      <c r="F1" s="21"/>
      <c r="G1" s="21"/>
    </row>
    <row r="3" customFormat="false" ht="36" hidden="false" customHeight="true" outlineLevel="0" collapsed="false">
      <c r="A3" s="3" t="s">
        <v>2</v>
      </c>
      <c r="B3" s="3" t="s">
        <v>61</v>
      </c>
      <c r="C3" s="3" t="s">
        <v>62</v>
      </c>
      <c r="D3" s="3" t="s">
        <v>63</v>
      </c>
      <c r="E3" s="3" t="s">
        <v>64</v>
      </c>
      <c r="F3" s="3" t="s">
        <v>65</v>
      </c>
      <c r="G3" s="3" t="s">
        <v>14</v>
      </c>
    </row>
    <row r="4" customFormat="false" ht="15" hidden="false" customHeight="false" outlineLevel="0" collapsed="false">
      <c r="A4" s="22" t="s">
        <v>66</v>
      </c>
      <c r="B4" s="23" t="n">
        <f aca="false">SUMIFS(광양터미널_2026!K5:K52,광양터미널_2026!C5:C52,"저장량")</f>
        <v>5320</v>
      </c>
      <c r="C4" s="23" t="n">
        <f aca="false">SUMIFS(광양터미널_2026!K5:K52,광양터미널_2026!C5:C52,"송출량")</f>
        <v>3801</v>
      </c>
      <c r="D4" s="23" t="n">
        <f aca="false">SUMIFS(광양터미널_2026!K5:K52,광양터미널_2026!C5:C52,"벙커링")</f>
        <v>28507</v>
      </c>
      <c r="E4" s="23" t="n">
        <f aca="false">SUMIFS(광양터미널_2026!K5:K52,광양터미널_2026!C5:C52,"반출입")</f>
        <v>116875</v>
      </c>
      <c r="F4" s="24" t="n">
        <v>89.5</v>
      </c>
      <c r="G4" s="25" t="s">
        <v>67</v>
      </c>
    </row>
    <row r="5" customFormat="false" ht="15" hidden="false" customHeight="false" outlineLevel="0" collapsed="false">
      <c r="A5" s="26" t="s">
        <v>68</v>
      </c>
      <c r="B5" s="23" t="n">
        <f aca="false">SUMIFS(광양터미널_2026!K53:K100,광양터미널_2026!C53:C100,"저장량")</f>
        <v>4907</v>
      </c>
      <c r="C5" s="23" t="n">
        <f aca="false">SUMIFS(광양터미널_2026!K53:K100,광양터미널_2026!C53:C100,"송출량")</f>
        <v>3502</v>
      </c>
      <c r="D5" s="23" t="n">
        <f aca="false">SUMIFS(광양터미널_2026!K53:K100,광양터미널_2026!C53:C100,"벙커링")</f>
        <v>26237</v>
      </c>
      <c r="E5" s="23" t="n">
        <f aca="false">SUMIFS(광양터미널_2026!K53:K100,광양터미널_2026!C53:C100,"반출입")</f>
        <v>107500</v>
      </c>
      <c r="F5" s="24" t="n">
        <v>88.1</v>
      </c>
      <c r="G5" s="25" t="s">
        <v>69</v>
      </c>
    </row>
    <row r="6" customFormat="false" ht="15" hidden="false" customHeight="false" outlineLevel="0" collapsed="false">
      <c r="A6" s="27" t="s">
        <v>70</v>
      </c>
      <c r="B6" s="23" t="n">
        <f aca="false">SUMIFS(광양터미널_2026!K101:K148,광양터미널_2026!C101:C148,"저장량")</f>
        <v>5779</v>
      </c>
      <c r="C6" s="23" t="n">
        <f aca="false">SUMIFS(광양터미널_2026!K101:K148,광양터미널_2026!C101:C148,"송출량")</f>
        <v>4115</v>
      </c>
      <c r="D6" s="23" t="n">
        <f aca="false">SUMIFS(광양터미널_2026!K101:K148,광양터미널_2026!C101:C148,"벙커링")</f>
        <v>30475</v>
      </c>
      <c r="E6" s="23" t="n">
        <f aca="false">SUMIFS(광양터미널_2026!K101:K148,광양터미널_2026!C101:C148,"반출입")</f>
        <v>125454</v>
      </c>
      <c r="F6" s="24" t="n">
        <v>87</v>
      </c>
      <c r="G6" s="25" t="s">
        <v>71</v>
      </c>
    </row>
    <row r="7" customFormat="false" ht="15" hidden="false" customHeight="false" outlineLevel="0" collapsed="false">
      <c r="A7" s="28" t="s">
        <v>72</v>
      </c>
      <c r="B7" s="23" t="n">
        <f aca="false">SUMIFS(광양터미널_2026!K149:K196,광양터미널_2026!C149:C196,"저장량")</f>
        <v>4537</v>
      </c>
      <c r="C7" s="23" t="n">
        <f aca="false">SUMIFS(광양터미널_2026!K149:K196,광양터미널_2026!C149:C196,"송출량")</f>
        <v>3218</v>
      </c>
      <c r="D7" s="23" t="n">
        <f aca="false">SUMIFS(광양터미널_2026!K149:K196,광양터미널_2026!C149:C196,"벙커링")</f>
        <v>24124</v>
      </c>
      <c r="E7" s="23" t="n">
        <f aca="false">SUMIFS(광양터미널_2026!K149:K196,광양터미널_2026!C149:C196,"반출입")</f>
        <v>99908</v>
      </c>
      <c r="F7" s="24" t="n">
        <v>91.8</v>
      </c>
      <c r="G7" s="25" t="s">
        <v>73</v>
      </c>
    </row>
    <row r="8" customFormat="false" ht="15" hidden="false" customHeight="false" outlineLevel="0" collapsed="false">
      <c r="A8" s="29" t="s">
        <v>74</v>
      </c>
      <c r="B8" s="30" t="n">
        <f aca="false">SUM(B4:B7)</f>
        <v>20543</v>
      </c>
      <c r="C8" s="30" t="n">
        <f aca="false">SUM(C4:C7)</f>
        <v>14636</v>
      </c>
      <c r="D8" s="30" t="n">
        <f aca="false">SUM(D4:D7)</f>
        <v>109343</v>
      </c>
      <c r="E8" s="30" t="n">
        <f aca="false">SUM(E4:E7)</f>
        <v>449737</v>
      </c>
      <c r="F8" s="31" t="n">
        <f aca="false">AVERAGE(F4:F7)</f>
        <v>89.1</v>
      </c>
      <c r="G8" s="32" t="s">
        <v>75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2026-05-05T10:52:41Z</dcterms:created>
  <dc:creator>openpyxl</dc:creator>
  <dc:description/>
  <dc:language>en-US</dc:language>
  <cp:lastModifiedBy/>
  <dcterms:modified xsi:type="dcterms:W3CDTF">2026-05-05T10:52:42Z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